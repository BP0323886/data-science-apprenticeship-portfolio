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lloydsbanking-my.sharepoint.com/personal/lawrance_bailes_lloydsbanking_com/Documents/Documents/03 Apprenticeship/05 Data Science Practice/"/>
    </mc:Choice>
  </mc:AlternateContent>
  <xr:revisionPtr revIDLastSave="34" documentId="8_{2EB767AE-5DBF-4067-8D2D-A76F909422A1}" xr6:coauthVersionLast="47" xr6:coauthVersionMax="47" xr10:uidLastSave="{0E2046CC-27A9-4B1F-96A0-52EC74715C18}"/>
  <bookViews>
    <workbookView xWindow="-120" yWindow="-120" windowWidth="29040" windowHeight="15720" activeTab="4" xr2:uid="{80108F36-6BE8-43A7-9D33-7309FF2C817F}"/>
  </bookViews>
  <sheets>
    <sheet name="Front_Page" sheetId="1" r:id="rId1"/>
    <sheet name="Table_of_contents" sheetId="2" r:id="rId2"/>
    <sheet name="PRC_Notes_tables_1_to_15" sheetId="3" r:id="rId3"/>
    <sheet name="1" sheetId="4" r:id="rId4"/>
    <sheet name="2" sheetId="5" r:id="rId5"/>
    <sheet name="3" sheetId="6" r:id="rId6"/>
    <sheet name="4" sheetId="7" r:id="rId7"/>
    <sheet name="5" sheetId="8" r:id="rId8"/>
    <sheet name="6" sheetId="9" r:id="rId9"/>
    <sheet name="7" sheetId="10" r:id="rId10"/>
    <sheet name="8" sheetId="11" r:id="rId11"/>
    <sheet name="9" sheetId="12" r:id="rId12"/>
    <sheet name="10" sheetId="13" r:id="rId13"/>
    <sheet name="11" sheetId="14" r:id="rId14"/>
    <sheet name="12" sheetId="15" r:id="rId15"/>
    <sheet name="13" sheetId="16" r:id="rId16"/>
    <sheet name="14" sheetId="17" r:id="rId17"/>
    <sheet name="15" sheetId="18" r:id="rId18"/>
    <sheet name="CSEW_Notes_tables_16_to_22" sheetId="19" r:id="rId19"/>
    <sheet name="16" sheetId="20" r:id="rId20"/>
    <sheet name="17" sheetId="21" r:id="rId21"/>
    <sheet name="18" sheetId="22" r:id="rId22"/>
    <sheet name="19" sheetId="23" r:id="rId23"/>
    <sheet name="20" sheetId="24" r:id="rId24"/>
    <sheet name="21" sheetId="25" r:id="rId25"/>
    <sheet name="22" sheetId="26" r:id="rId26"/>
  </sheets>
  <definedNames>
    <definedName name="_xlnm.Print_Area" localSheetId="11">'9'!$A$1:$G$22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8" i="5" l="1"/>
  <c r="N39" i="5"/>
  <c r="N40" i="5"/>
  <c r="N41" i="5"/>
  <c r="N42" i="5"/>
  <c r="O38" i="5"/>
  <c r="O39" i="5"/>
  <c r="O40" i="5"/>
  <c r="O41" i="5"/>
  <c r="O42" i="5"/>
  <c r="C38" i="5"/>
  <c r="D38" i="5"/>
  <c r="E38" i="5"/>
  <c r="F38" i="5"/>
  <c r="G38" i="5"/>
  <c r="H38" i="5"/>
  <c r="I38" i="5"/>
  <c r="K38" i="5"/>
  <c r="L38" i="5"/>
  <c r="M38" i="5"/>
  <c r="C39" i="5"/>
  <c r="D39" i="5"/>
  <c r="E39" i="5"/>
  <c r="F39" i="5"/>
  <c r="G39" i="5"/>
  <c r="H39" i="5"/>
  <c r="I39" i="5"/>
  <c r="K39" i="5"/>
  <c r="L39" i="5"/>
  <c r="M39" i="5"/>
  <c r="C40" i="5"/>
  <c r="D40" i="5"/>
  <c r="E40" i="5"/>
  <c r="F40" i="5"/>
  <c r="G40" i="5"/>
  <c r="H40" i="5"/>
  <c r="I40" i="5"/>
  <c r="K40" i="5"/>
  <c r="L40" i="5"/>
  <c r="M40" i="5"/>
  <c r="C41" i="5"/>
  <c r="D41" i="5"/>
  <c r="E41" i="5"/>
  <c r="F41" i="5"/>
  <c r="G41" i="5"/>
  <c r="H41" i="5"/>
  <c r="I41" i="5"/>
  <c r="K41" i="5"/>
  <c r="L41" i="5"/>
  <c r="M41" i="5"/>
  <c r="C42" i="5"/>
  <c r="D42" i="5"/>
  <c r="E42" i="5"/>
  <c r="F42" i="5"/>
  <c r="G42" i="5"/>
  <c r="H42" i="5"/>
  <c r="I42" i="5"/>
  <c r="K42" i="5"/>
  <c r="L42" i="5"/>
  <c r="M42" i="5"/>
  <c r="B39" i="5"/>
  <c r="B40" i="5"/>
  <c r="B41" i="5"/>
  <c r="B42" i="5"/>
  <c r="B38" i="5"/>
</calcChain>
</file>

<file path=xl/sharedStrings.xml><?xml version="1.0" encoding="utf-8"?>
<sst xmlns="http://schemas.openxmlformats.org/spreadsheetml/2006/main" count="597" uniqueCount="331">
  <si>
    <t>Hate crime, England and Wales, year ending March 2025</t>
  </si>
  <si>
    <t>Bulletin Tables</t>
  </si>
  <si>
    <t>Responsible Statistician: John Flatley</t>
  </si>
  <si>
    <t>Enquiries: crimeandpolicestats@homeoffice.gov.uk</t>
  </si>
  <si>
    <t>Published: 9 October 2025</t>
  </si>
  <si>
    <t>Crown copyright © 2025</t>
  </si>
  <si>
    <t>Contents</t>
  </si>
  <si>
    <t xml:space="preserve">Table of contents </t>
  </si>
  <si>
    <t>Worksheet number</t>
  </si>
  <si>
    <t>Worksheet title</t>
  </si>
  <si>
    <t>Notes for PRC tables 1 to 15</t>
  </si>
  <si>
    <t>Source</t>
  </si>
  <si>
    <t>Worksheet link</t>
  </si>
  <si>
    <t>The five racially or religiously aggravated offences and their non-aggravated equivalents</t>
  </si>
  <si>
    <t xml:space="preserve">Police recorded crime data from the Home Office Data Hub </t>
  </si>
  <si>
    <t>Link to Table 1</t>
  </si>
  <si>
    <t>Number of hate crimes recorded by the police in England and Wales, by monitored strand, England and Wales, year ending March 2012 to year ending March 2024</t>
  </si>
  <si>
    <t>Link to Table 2</t>
  </si>
  <si>
    <t>Number of religious hate crimes targeted against Jews and Muslims by month, England and Wales, 31 forces, year ending March 2024</t>
  </si>
  <si>
    <t>Link to Table 3</t>
  </si>
  <si>
    <t xml:space="preserve">Proportion of religious hate crimes targeted against Jews and Muslims, by offence type, England and Wales, year ending March 2024 </t>
  </si>
  <si>
    <t>Link to Table 4</t>
  </si>
  <si>
    <t xml:space="preserve">Numbers, proportions and rates per population of religious hate crimes recorded by the police, by perceived religion, England and Wales, year ending March 2022 to year ending March 2024 </t>
  </si>
  <si>
    <t>Link to Table 5</t>
  </si>
  <si>
    <t>Proportion of offences flagged as hate crimes, by offence group, England and Wales, year ending March 2024</t>
  </si>
  <si>
    <t>Link to Table 6</t>
  </si>
  <si>
    <t>Proportion of hate crimes and overall recorded crime, by selected offence types, England and Wales, year ending March 2024</t>
  </si>
  <si>
    <t>Link to Table 7</t>
  </si>
  <si>
    <t>Proportion of hate crimes, by selected offence types and monitored strand, England and Wales, year ending March 2024</t>
  </si>
  <si>
    <t>Link to Table 8</t>
  </si>
  <si>
    <t>Indexed trends in the number of violence against the person and public order and hate crime offences  (2012/13 = 100), England and Wales, year ending March 2014 to year ending March 2024</t>
  </si>
  <si>
    <t>Link to Table 9</t>
  </si>
  <si>
    <t>Indexed trends in the number of racially or religiously aggravated offences and their non-aggravated equivalents recorded by the police, by month, England and Wales, April 2015 to March 2024</t>
  </si>
  <si>
    <t>Link to Table 10</t>
  </si>
  <si>
    <t xml:space="preserve">Percentage of racially or religiously aggravated offences and their non-aggravated equivalents resulting in charge/summons, by offence type, England and Wales, offences recorded in year ending March 2024 </t>
  </si>
  <si>
    <t>Link to Table 11</t>
  </si>
  <si>
    <t xml:space="preserve">Percentage of hate crimes and non-hate crimes dealt with by a charge/summons, by selected offences, England and Wales, 30 forces, offences recorded in year ending March 2024 </t>
  </si>
  <si>
    <t>Link to Table 12</t>
  </si>
  <si>
    <t xml:space="preserve">Percentage of selected offences resulting in charge/summons, by monitored strand, England and Wales, 30 forces, offences recorded in year ending March 2024 </t>
  </si>
  <si>
    <t>Link to Table 13</t>
  </si>
  <si>
    <t>Median number of days taken to assign an outcome, hate crime flagged and all offences, England and Wales, 30 forces, outcomes recorded in year ending March 2024</t>
  </si>
  <si>
    <t>Link to Table 14</t>
  </si>
  <si>
    <t>Proportion of racially or religiously aggravated offences recorded by the police, by victim ethnicity and offence code, England and Wales, year ending March 2024</t>
  </si>
  <si>
    <t>Link to Table 15</t>
  </si>
  <si>
    <t>Notes for CSEW tables 16 to 22</t>
  </si>
  <si>
    <t>Number of estimated incidents of hate crimes among people aged 16 and over with confidence intervals, England and Wales.</t>
  </si>
  <si>
    <t>Crime Survey for England and Wales (CSEW)</t>
  </si>
  <si>
    <t>Link to Table 16</t>
  </si>
  <si>
    <t>Percentage of hate crime incidents, by type of offence, England and Wales.</t>
  </si>
  <si>
    <t>Link to Table 17</t>
  </si>
  <si>
    <t>Percentage of victims aged 16 and over who were victimised more than once in the previous year, England and Wales.</t>
  </si>
  <si>
    <t>Link to Table 18</t>
  </si>
  <si>
    <t>Percentage of CSEW crime incidents reported to the police, victims aged 16 and over, England and Wales.</t>
  </si>
  <si>
    <t>Link to Table 19</t>
  </si>
  <si>
    <t>Percentage of adults aged 16 and over who were victims of racially-motivated hate crime and all CSEW crime, by ethnic group, England and Wales.</t>
  </si>
  <si>
    <t>Link to Table 20</t>
  </si>
  <si>
    <t>Victim satisfaction with the police, victims aged 16 and over, England and Wales.</t>
  </si>
  <si>
    <t>Link to Table 21</t>
  </si>
  <si>
    <t>Emotional impact of hate crime incident, victims aged 16 and over, England and Wales.</t>
  </si>
  <si>
    <t>Link to Table 22</t>
  </si>
  <si>
    <t xml:space="preserve">Notes </t>
  </si>
  <si>
    <t xml:space="preserve">This worksheet contains one table. </t>
  </si>
  <si>
    <t xml:space="preserve">Note number </t>
  </si>
  <si>
    <t xml:space="preserve">Note text </t>
  </si>
  <si>
    <t>Useful links</t>
  </si>
  <si>
    <t xml:space="preserve">Hate crime is defined as ‘any criminal offence which is perceived, by the victim or any other person, to be motivated by hostility or prejudice towards someone based on a personal characteristic.’ Information is collected from the police on five centrally monitored hate crime strands. The True Vision provides more information on hate crime and how to report these crimes. </t>
  </si>
  <si>
    <t>Stop Homophobic, Transphobic, Racial, Religious &amp; Disability Hate Crime - True Vision (report-it.org.uk)</t>
  </si>
  <si>
    <t xml:space="preserve">Data were collected from 43 police forces in England and Wales and the British Transport Police and cover notifiable offences only. For more information, see the Office for National Statistics User guide to crime statistics for England and Wales. </t>
  </si>
  <si>
    <t>User guide to crime statistics for England and Wales: March 2024 - Office for National Statistics (ons.gov.uk)</t>
  </si>
  <si>
    <t xml:space="preserve">Figures for total religious hate crime have been revised for the years 2021/22 to 2023/24 to include offences where the religious hate crime marker was missing from a crime record but the targeted religion marker had been added. Data for City of London has been revised for the year ending March 2024.  Previously published data will differ from this bulletin.  </t>
  </si>
  <si>
    <t>Data from the Metropolitan Police Service (MPS) for the year ending March 2025 are not comparable with previous years so are excluded from the table. This is due to a change in crime recording system. For more information, see section 1.2 of Hate Crime, England and Wales, year ending March 2025</t>
  </si>
  <si>
    <t>Hate crime, England and Wales, year ending March 2025 - Official statistics announcement - GOV.UK</t>
  </si>
  <si>
    <t>Greater Manchester Police (GMP) were unable to supply data for the year ending March 2020 following the implementation of new force IT systems.</t>
  </si>
  <si>
    <t>Forces included in this analysis were: Avon and Somerset, Bedfordshire, Cambridgeshire, Cleveland, Cumbria, Derbyshire, Devon and Cornwall, Dorset, Durham, Dyfed-Powys, Essex, Gloucestershire, Hampshire, Hertfordshire, Kent, Lancashire, Leicestershire, Merseyside, Metropolitan Police, Norfolk, Northamptonshire, Northumbria, North Yorkshire, Nottinghamshire, South Wales, South Yorkshire, Staffordshire, Suffolk, Surrey, Sussex, Thames Valley, Warwickshire, West Mercia, West Yorkshire, and Wiltshire.</t>
  </si>
  <si>
    <t xml:space="preserve">Data for religious hate crimes are based on the targeted religion recorded by the police. In some offences, more than one religion has been recorded as being targeted, therefore the sum of the proportions do not add to 100%. Proportions are based on offences where the targeted religion field has been completed - including where the police have recorded ‘unknowns’. </t>
  </si>
  <si>
    <t xml:space="preserve">Some offences were identified as targeting more than one religion. Row 18 and 34 give the total number of religious hate crimes where one or more religion was provided (including unknowns). Row 19 and 35  give the number of offences where no targeted religion was provided by the police. Row 20 and 36  provide the total number of religious hate crimes recorded by the police. </t>
  </si>
  <si>
    <t xml:space="preserve">Other notifiable offences includes crimes such as theft, burglary and sexual offences. </t>
  </si>
  <si>
    <t>Hate crime offences for the year ending March 2020 include estimated figures for GMP as they were unable to supply data for the year ending March 2020 following the implementation of a new IT system in July 2019.</t>
  </si>
  <si>
    <t>Includes: racially or religiously aggravated assault with injury, racially or religiously aggravated assault without injury,  racially or religiously aggravated criminal damage,  racially or religiously aggravated public fear, alarm or distress and racially or religiously aggravated harassment.</t>
  </si>
  <si>
    <t xml:space="preserve">Outcomes are subject to change as police investigations are completed.  </t>
  </si>
  <si>
    <t>Based on self-defined ethinicity. Data for previous years were based on officer-defined ethnicity. The move to self-defined aligns with those used by the ONS for the 2021 Census.</t>
  </si>
  <si>
    <t>In the previous hate crime statistical bulletin, rates per population for racially or religiously aggravated offences by ethnicity were published. These rates have not been calculated this year as there was a high number of offences where ethnicity of victim was unknown. Due to this, the rates would be misleading and an undercount of the true picture. </t>
  </si>
  <si>
    <t>Bulletin Table 1: The five racially or religiously aggravated offences and their non-aggravated equivalents</t>
  </si>
  <si>
    <t>This worksheet contains one table.</t>
  </si>
  <si>
    <t>Source: Home Office Counting Rules</t>
  </si>
  <si>
    <t>Offence type</t>
  </si>
  <si>
    <t>Offence code</t>
  </si>
  <si>
    <t>Offence</t>
  </si>
  <si>
    <t xml:space="preserve">Racially or religiously aggravated </t>
  </si>
  <si>
    <t>8P</t>
  </si>
  <si>
    <t>Racially or religiously aggravated assault with injury</t>
  </si>
  <si>
    <t>105B</t>
  </si>
  <si>
    <t>Racially or religiously aggravated assault without injury</t>
  </si>
  <si>
    <t>8M</t>
  </si>
  <si>
    <t xml:space="preserve">Racially or religiously aggravated harassment </t>
  </si>
  <si>
    <t>9B</t>
  </si>
  <si>
    <t>Racially or religiously aggravated public fear, alarm or distress</t>
  </si>
  <si>
    <t>58J</t>
  </si>
  <si>
    <t>Racially or religiously aggravated criminal damage</t>
  </si>
  <si>
    <t>Non-aggravated equivalent</t>
  </si>
  <si>
    <t>8N</t>
  </si>
  <si>
    <t xml:space="preserve">Assault with injury </t>
  </si>
  <si>
    <t>105A</t>
  </si>
  <si>
    <t>Assault without Injury</t>
  </si>
  <si>
    <t>8L</t>
  </si>
  <si>
    <t xml:space="preserve">Harassment </t>
  </si>
  <si>
    <t>9A</t>
  </si>
  <si>
    <t>Public fear, alarm or distress</t>
  </si>
  <si>
    <t>58A</t>
  </si>
  <si>
    <t>Criminal damage to a dwelling</t>
  </si>
  <si>
    <t>58B</t>
  </si>
  <si>
    <t>Criminal damage to a building other than a dwelling</t>
  </si>
  <si>
    <t>58C</t>
  </si>
  <si>
    <t>Criminal damage to a vehicle</t>
  </si>
  <si>
    <t>58D</t>
  </si>
  <si>
    <t>Other criminal damage</t>
  </si>
  <si>
    <t xml:space="preserve">Bulletin Table 2: Number of hate crimes recorded by the police, by monitored strand, </t>
  </si>
  <si>
    <t>England and Wales, year ending March 2012 to year ending March 2025 [note 1][note 2][note 3][note 4]</t>
  </si>
  <si>
    <t>This worksheet contains three tables presented vertically with one blank row between each table. Some cells refer to notes which can be found on the notes worksheet.</t>
  </si>
  <si>
    <t>Some shorthand is used in this table, [x] = unavailable</t>
  </si>
  <si>
    <t>Source: Police recorded crime, Home Office</t>
  </si>
  <si>
    <t>Table 2a: Number of hate crimes recorded by the police, by monitored strand, England and Wales, excluding the Metropolitan Police</t>
  </si>
  <si>
    <t>Hate crime strand</t>
  </si>
  <si>
    <t>2011/12</t>
  </si>
  <si>
    <t>2012/13</t>
  </si>
  <si>
    <t>2013/14</t>
  </si>
  <si>
    <t>2014/15</t>
  </si>
  <si>
    <t>2015/16</t>
  </si>
  <si>
    <t>2016/17</t>
  </si>
  <si>
    <t>2017/18</t>
  </si>
  <si>
    <t xml:space="preserve">2018/19 </t>
  </si>
  <si>
    <t>2019/20 [note 5]</t>
  </si>
  <si>
    <t>2020/21</t>
  </si>
  <si>
    <t>2021/22</t>
  </si>
  <si>
    <t>2022/23</t>
  </si>
  <si>
    <t>2023/24</t>
  </si>
  <si>
    <t>2024/25</t>
  </si>
  <si>
    <t>% change 2023/24 to 2024/25</t>
  </si>
  <si>
    <t>Race</t>
  </si>
  <si>
    <t>[x]</t>
  </si>
  <si>
    <t>Religion</t>
  </si>
  <si>
    <t>Sexual orientation</t>
  </si>
  <si>
    <t>Disability</t>
  </si>
  <si>
    <t>Transgender</t>
  </si>
  <si>
    <t>Total number of motivating factors</t>
  </si>
  <si>
    <t xml:space="preserve">Total number of offences </t>
  </si>
  <si>
    <t>Table 2b: Number of hate crimes recorded by the police, by monitored strand, England and Wales, all police forces</t>
  </si>
  <si>
    <t>Table 2c: Number of hate crimes, by monitored strand, recorded by the Metropolitan Police Service</t>
  </si>
  <si>
    <t>2019/20</t>
  </si>
  <si>
    <t>2024/25 [note 4]</t>
  </si>
  <si>
    <t>Bulletin Table 3: Number of religious hate crimes targeted against Jews and Muslims by month,</t>
  </si>
  <si>
    <t>England and Wales, 35 forces, year ending March 2025 [note 6]</t>
  </si>
  <si>
    <t>This worksheet contains one table. Some cells refer to notes which can be found on the notes worksheet.</t>
  </si>
  <si>
    <t>Month</t>
  </si>
  <si>
    <t xml:space="preserve">Jewish </t>
  </si>
  <si>
    <t>Muslim</t>
  </si>
  <si>
    <t>Bulletin Table 4: Proportion of religious hate crimes targeted against Jews and Muslims, by offence type,</t>
  </si>
  <si>
    <t>England and Wales, year ending March 2025</t>
  </si>
  <si>
    <t>Jewish (%)</t>
  </si>
  <si>
    <t>Muslim (%)</t>
  </si>
  <si>
    <t>Criminal damage and arson</t>
  </si>
  <si>
    <t>Malicious communications</t>
  </si>
  <si>
    <t>Assaults with and without injury</t>
  </si>
  <si>
    <t>Stalking and harassment</t>
  </si>
  <si>
    <t>Other</t>
  </si>
  <si>
    <t>Total</t>
  </si>
  <si>
    <t>Bulletin Table 5: Numbers, proportions and rates per population of religious hate crimes recorded by the police, by perceived religion,</t>
  </si>
  <si>
    <t xml:space="preserve">England and Wales, excluding Metropolitan Police year ending March 2022 to year ending March 2025 [note 4][note 7][note 8] </t>
  </si>
  <si>
    <t>This worksheet contains two tables presented vertically with one blank row between each table. Some cells refer to notes which can be found on the notes worksheet.</t>
  </si>
  <si>
    <t xml:space="preserve">Some shorthand is used in this table, [x] Indicates the percentage change is not reported because the base number of offences is less than 50, [u] indicates unavailable. </t>
  </si>
  <si>
    <t>here are blank cells in the table as proportions and rates have only been calculated for each religious strand.</t>
  </si>
  <si>
    <t>Table 5a: Number of hate crimes recorded by the police, by perceived religion, England and Wales, excluding Metropolitan Police</t>
  </si>
  <si>
    <t>Perceived religion of the victim</t>
  </si>
  <si>
    <t>Buddhist</t>
  </si>
  <si>
    <t>Christian</t>
  </si>
  <si>
    <t>Hindu</t>
  </si>
  <si>
    <t>Jewish</t>
  </si>
  <si>
    <t>Sikh</t>
  </si>
  <si>
    <t>No religion</t>
  </si>
  <si>
    <t>Unknown</t>
  </si>
  <si>
    <t>Total number of targeted religions [note 8]</t>
  </si>
  <si>
    <t>Total number of religious hate crimes (targeted religion provided) [note 8]</t>
  </si>
  <si>
    <t>Number of offences where no information on targeted religion was provided [note 8]</t>
  </si>
  <si>
    <t>Total number of religious hate crime offences [note 8]</t>
  </si>
  <si>
    <t>Table 5b: Numbers, proportions and rates per population of religious hate crimes recorded by the police, by perceived religion, England and Wales, all police forces</t>
  </si>
  <si>
    <t>Proportion of religious hate crimes 2024/25 (%) [note 7]</t>
  </si>
  <si>
    <t>Religious hate crimes rate per 10,000 population 2024/25</t>
  </si>
  <si>
    <t>[u]</t>
  </si>
  <si>
    <t xml:space="preserve">Bulletin Table 6: Proportion of offences recorded by the police flagged as hate crimes, by offence group, </t>
  </si>
  <si>
    <t>England and Wales, year ending March 2025 [note 1]</t>
  </si>
  <si>
    <t>Proportion of total offences (%)</t>
  </si>
  <si>
    <t>Public order</t>
  </si>
  <si>
    <t>Violence against the person</t>
  </si>
  <si>
    <t>Other notifiable offences [note 9]</t>
  </si>
  <si>
    <t>Bulletin Table 7: Proportion of hate crimes and overall recorded crime, by selected offence types,</t>
  </si>
  <si>
    <t>Hate crime (%)</t>
  </si>
  <si>
    <t>Overall recorded crime (%)</t>
  </si>
  <si>
    <t>Bulletin Table 8: Proportion of hate crimes, by selected offence types and monitored strand,</t>
  </si>
  <si>
    <t>Offence Type</t>
  </si>
  <si>
    <t>Total religion</t>
  </si>
  <si>
    <t>Total motivating factors</t>
  </si>
  <si>
    <t>Public order offences</t>
  </si>
  <si>
    <t>Violence against the person with injury</t>
  </si>
  <si>
    <t>Violence against the person without injury</t>
  </si>
  <si>
    <t xml:space="preserve">Bulletin Table 9: Indexed trends in the number of violence against the person and public order and hate crime offences (2014/15 = 100), </t>
  </si>
  <si>
    <t>England and Wales, excluding Metropolitan Police, year ending March 2015 to year ending March 2025 [note 4][note 10]</t>
  </si>
  <si>
    <t>Financial year</t>
  </si>
  <si>
    <t>Violence against the person and public order offences</t>
  </si>
  <si>
    <t>Hate crimes</t>
  </si>
  <si>
    <t>2018/19</t>
  </si>
  <si>
    <t xml:space="preserve">Bulletin Table 10: Indexed trends in the number of racially or religiously aggravated offences and their non-aggravated equivalents recorded by the police, by month (April 2015 = 100), </t>
  </si>
  <si>
    <t>England and Wales, April 2015 to March 2025 [note 11]</t>
  </si>
  <si>
    <t>Non-aggravated offences</t>
  </si>
  <si>
    <t>Aggravated offences</t>
  </si>
  <si>
    <t>Bulletin Table 11: Percentage of racially or religiously aggravated offences and their non-aggravated equivalents resulting in charge/summons, by offence type,</t>
  </si>
  <si>
    <t xml:space="preserve">England and Wales, offences recorded in year ending March 2025 </t>
  </si>
  <si>
    <t>Crime Type</t>
  </si>
  <si>
    <t>Charged/
summonsed (%)</t>
  </si>
  <si>
    <t>Racially or religiously aggravated offences</t>
  </si>
  <si>
    <t>Public fear, alarm or distress offences</t>
  </si>
  <si>
    <t>Assault with/without injury and harassment</t>
  </si>
  <si>
    <t>Non-aggravated equivalent offences</t>
  </si>
  <si>
    <t>Bulletin Table 12: Percentage of hate crimes and non-hate crimes dealt with by a charge/summons, by selected offences,</t>
  </si>
  <si>
    <t>England and Wales, 35 forces, offences recorded in year ending March 2025 [note 6][note 12]</t>
  </si>
  <si>
    <t>Hate crime flagged</t>
  </si>
  <si>
    <t xml:space="preserve">Non-hate crime flagged </t>
  </si>
  <si>
    <t>Bulletin Table 13: Percentage of selected offences resulting in charge/summons, by monitored strand,</t>
  </si>
  <si>
    <t xml:space="preserve">England and Wales, 35 forces, offences recorded in year ending March 2025 [note 6][note 12] </t>
  </si>
  <si>
    <t>Total Religion</t>
  </si>
  <si>
    <t>Non-hate crimes</t>
  </si>
  <si>
    <t xml:space="preserve">Bulletin Table 14: Median number of days taken to assign an outcome, hate crime flagged and all offences, </t>
  </si>
  <si>
    <t>England and Wales, 35 forces, outcomes recorded in year ending March 2025 [note 6]</t>
  </si>
  <si>
    <t>Type of offence</t>
  </si>
  <si>
    <t>Non-hate crime flagged</t>
  </si>
  <si>
    <t>Bulletin Table 15: Proportion of racially or religiously aggravated offences recorded by the police, by victim ethnicity (where known) and offence code,</t>
  </si>
  <si>
    <t>England and Wales, excluding Leicestershire Police, year ending March 2025 [note 13][note 14]</t>
  </si>
  <si>
    <t>Offence description</t>
  </si>
  <si>
    <t>White</t>
  </si>
  <si>
    <t>Black/African/ Caribbean/Black British</t>
  </si>
  <si>
    <t>Asian/Asian British</t>
  </si>
  <si>
    <t>Mixed/Multiple ethnic groups</t>
  </si>
  <si>
    <t>Other ethnic group</t>
  </si>
  <si>
    <t>Racially or religiously aggravated harassment</t>
  </si>
  <si>
    <t>Total offences</t>
  </si>
  <si>
    <t>The numbers are derived by multiplying incidence rates by the population estimates for England and Wales. For more information see Chapter 8 of the User Guide.</t>
  </si>
  <si>
    <t>The range given for these estimates is based on a 95 per cent confidence interval. For hate crime the interval cannot be calculated the same way as for other CSEW estimates (a method based on an approximation has been developed). For more information see Chapter 8 of the User Guide.</t>
  </si>
  <si>
    <t xml:space="preserve">The total for hate crime might not be equal to the sum of incidents in the related equality strands as the victim may have said the crime was motivated by more than one strand. </t>
  </si>
  <si>
    <t>Please note that the hate crime offences are a subset of all CSEW crime, this should be borne in mind when making comparsions between them.</t>
  </si>
  <si>
    <t>Unweighted base is all CSEW crime incidents.</t>
  </si>
  <si>
    <t>Incidents that were reported to the police also includes those incidents that the police came to know about in another way, e.g. they arrived at the scene.</t>
  </si>
  <si>
    <t>Combined 2007/08 &amp; 2008/09 CSEW excludes gender-identity, combined 2009/10 to 2011/12 CSEW partially excludes gender-identity as questions on this strand were not included until 2011/12.</t>
  </si>
  <si>
    <t>This percentage is calculated treating a household crime as a personal crime.</t>
  </si>
  <si>
    <t>Ethnic group is based on the 2011 Census definition of ethnic group which now includes Chinese in the Asian/Asian Bristish group. For more information see section 7.3 of the User Guide.</t>
  </si>
  <si>
    <t>User guide to crime statistics for England and Wales: March 2025 - Office for National Statistics</t>
  </si>
  <si>
    <t>Percentages will not add up to 100 as the category 'Too early to say' has been removed from the graph as figures have been suppressed due to an unreliable estimate from the CSEW</t>
  </si>
  <si>
    <t>Figures add to more than 100 as more than one response possible.</t>
  </si>
  <si>
    <t>Bulletin Table 16: Number of estimated incidents of hate crimes among people aged 16 and over with confidence intervals,</t>
  </si>
  <si>
    <t>England and Wales, April 2022 to March 2025</t>
  </si>
  <si>
    <t>This worksheet contains one table. The units in this table are for number of victims (000s). Some cells refer to notes which can be found on the notes for CSEW data worksheet.</t>
  </si>
  <si>
    <t>Source: Crime Survey for England and Wales from the Office for National Statistics</t>
  </si>
  <si>
    <t>Monitored strand of hate crime</t>
  </si>
  <si>
    <t>Estimate [note 1]</t>
  </si>
  <si>
    <t>Range [note 2]</t>
  </si>
  <si>
    <t>All hate crime excluding fraud and computer misuse [note3]</t>
  </si>
  <si>
    <t>-</t>
  </si>
  <si>
    <t>Gender Identity</t>
  </si>
  <si>
    <t>Bulletin Table 17: Percentage of hate crime incidents, by type of offence,</t>
  </si>
  <si>
    <t>This worksheet contains one table. Some cells refer to notes which can be found on the notes for CSEW data worksheet.</t>
  </si>
  <si>
    <t>Type of incident</t>
  </si>
  <si>
    <t>All hate crime excluding fraud and computer misuse [note 4]</t>
  </si>
  <si>
    <t>CSEW headline crime excluding fraud and computer misuse</t>
  </si>
  <si>
    <t>Personal crime excluding fraud and computer misuse</t>
  </si>
  <si>
    <t>Violence without injury</t>
  </si>
  <si>
    <t xml:space="preserve">Violence with injury </t>
  </si>
  <si>
    <t>Robbery</t>
  </si>
  <si>
    <t>Theft from person</t>
  </si>
  <si>
    <t>Other theft of personal property</t>
  </si>
  <si>
    <t>Household crime</t>
  </si>
  <si>
    <t>Criminal damage</t>
  </si>
  <si>
    <t>Burglary</t>
  </si>
  <si>
    <t>Vehicle-related theft</t>
  </si>
  <si>
    <t>Bicycle theft</t>
  </si>
  <si>
    <t>Other household theft</t>
  </si>
  <si>
    <t>Unweighted base [note 5]</t>
  </si>
  <si>
    <t>Bulletin Table 18: Percentage of victims aged 16 and over who were victimised more than once in the previous year</t>
  </si>
  <si>
    <t>Personal</t>
  </si>
  <si>
    <t>Household</t>
  </si>
  <si>
    <t>Hate crimes excluding fraud and computer misuse [note 4]</t>
  </si>
  <si>
    <t>Bulletin Table 19: Percentage of CSEW crime incidents reported to the police, victims aged 16 and over,</t>
  </si>
  <si>
    <t>England and Wales, April 2007 to March 2025 [note 6]</t>
  </si>
  <si>
    <t>April 2007 to March 2009 [note 7]</t>
  </si>
  <si>
    <t>April 2009 to March 2012 [note 7]</t>
  </si>
  <si>
    <t>April 2012 to March 2015</t>
  </si>
  <si>
    <t>April 2015 to March 2018</t>
  </si>
  <si>
    <t xml:space="preserve">April 2017 to March 2020 </t>
  </si>
  <si>
    <t xml:space="preserve">April 2022 to March 2025 </t>
  </si>
  <si>
    <t>Percentage reported to police</t>
  </si>
  <si>
    <t>Incident reported to police</t>
  </si>
  <si>
    <r>
      <t>All hate crime excluding fraud and computer misuse</t>
    </r>
    <r>
      <rPr>
        <vertAlign val="superscript"/>
        <sz val="12"/>
        <color rgb="FF000000"/>
        <rFont val="Arial"/>
        <family val="2"/>
      </rPr>
      <t xml:space="preserve"> </t>
    </r>
    <r>
      <rPr>
        <sz val="12"/>
        <color rgb="FF000000"/>
        <rFont val="Arial"/>
        <family val="2"/>
      </rPr>
      <t>[note 4]</t>
    </r>
  </si>
  <si>
    <t>Bulletin Table 20: Percentage of adults aged 16 and over who were victims of racially-motivated hate crime and all CSEW crime, by ethnic group,</t>
  </si>
  <si>
    <r>
      <t>Ethnic group</t>
    </r>
    <r>
      <rPr>
        <b/>
        <vertAlign val="superscript"/>
        <sz val="12"/>
        <color rgb="FF000000"/>
        <rFont val="Arial"/>
        <family val="2"/>
      </rPr>
      <t xml:space="preserve"> </t>
    </r>
    <r>
      <rPr>
        <b/>
        <sz val="12"/>
        <color rgb="FF000000"/>
        <rFont val="Arial"/>
        <family val="2"/>
      </rPr>
      <t>[note 9]</t>
    </r>
  </si>
  <si>
    <t>All racially motivated hate crime excluding fraud and computer misuse [note 8]</t>
  </si>
  <si>
    <t>Unweighted base</t>
  </si>
  <si>
    <t>ALL ADULTS</t>
  </si>
  <si>
    <t>Mixed/multiple ethnic groups</t>
  </si>
  <si>
    <t>Black/African/Caribbean/Black British</t>
  </si>
  <si>
    <t>Bulletin Table 21: Victim satisfaction with the police, victims aged 16 and over,</t>
  </si>
  <si>
    <t>England and Wales, April 2022 to March 2025 [note 10]</t>
  </si>
  <si>
    <t>This worksheet contains one table. The units in this table are proportions of adult victims. Some cells refer to notes which can be found on the notes for CSEW data worksheet.</t>
  </si>
  <si>
    <t xml:space="preserve">Some shorthand is used in this table, [*] = a reliable estimate cannot be produced due to small numbers in the survey </t>
  </si>
  <si>
    <t>Victim staisfaction</t>
  </si>
  <si>
    <t>All hate crime excluding fraud and computer misuse</t>
  </si>
  <si>
    <t xml:space="preserve"> Very satisfied</t>
  </si>
  <si>
    <t xml:space="preserve"> Fairly satisfied</t>
  </si>
  <si>
    <t xml:space="preserve"> A bit dissatisfied</t>
  </si>
  <si>
    <t xml:space="preserve"> Very dissatisfied</t>
  </si>
  <si>
    <t xml:space="preserve"> Too early to say</t>
  </si>
  <si>
    <t>*</t>
  </si>
  <si>
    <t>Bulletin Table 22: Emotional impact of hate crime incident, victims aged 16 and over,</t>
  </si>
  <si>
    <t>Type of emotional response experienced [note 1]</t>
  </si>
  <si>
    <t>Annoyance</t>
  </si>
  <si>
    <t>Anger</t>
  </si>
  <si>
    <t>Shock</t>
  </si>
  <si>
    <t>Loss of confidence or feeling vunerable</t>
  </si>
  <si>
    <t>Fear</t>
  </si>
  <si>
    <t>Difficulty sleeping</t>
  </si>
  <si>
    <t>Crying/tears</t>
  </si>
  <si>
    <t>Anxiety or panic attacks</t>
  </si>
  <si>
    <t>Depression</t>
  </si>
  <si>
    <t>Table 2d: Number of hate crimes, by monitored strand, England and Wales, all police forces</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</si>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</sst>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0.0"/>
    <numFmt numFmtId="167" formatCode="&quot; &quot;* #,##0&quot; &quot;;&quot;-&quot;* #,##0&quot; &quot;;&quot; &quot;* &quot;-&quot;#&quot; &quot;;&quot; &quot;@&quot; &quot;"/>
    <numFmt numFmtId="168" formatCode="#,##0,"/>
    <numFmt numFmtId="169" formatCode="&quot; &quot;#,##0&quot; &quot;;&quot;-&quot;#,##0&quot; &quot;;&quot; -&quot;00&quot; &quot;;&quot; &quot;@&quot; &quot;"/>
    <numFmt numFmtId="170" formatCode="&quot; &quot;* #,##0.00&quot; &quot;;&quot;-&quot;* #,##0.00&quot; &quot;;&quot; &quot;* &quot;-&quot;#&quot; &quot;;&quot; &quot;@&quot; &quot;"/>
    <numFmt numFmtId="171" formatCode="&quot; &quot;#,##0.00&quot; &quot;;&quot;-&quot;#,##0.00&quot; &quot;;&quot; -&quot;00&quot; &quot;;&quot; &quot;@&quot; &quot;"/>
  </numFmts>
  <fonts count="31" x14ac:knownFonts="1">
    <font>
      <sz val="11"/>
      <color rgb="FF000000"/>
      <name val="Calibri"/>
      <family val="2"/>
    </font>
    <font>
      <sz val="11"/>
      <color rgb="FF000000"/>
      <name val="Calibri"/>
      <family val="2"/>
    </font>
    <font>
      <sz val="11"/>
      <color rgb="FF006100"/>
      <name val="Calibri"/>
      <family val="2"/>
    </font>
    <font>
      <b/>
      <sz val="15"/>
      <color rgb="FF000000"/>
      <name val="Calibri"/>
      <family val="2"/>
    </font>
    <font>
      <b/>
      <sz val="13"/>
      <color rgb="FF44546A"/>
      <name val="Calibri"/>
      <family val="2"/>
    </font>
    <font>
      <b/>
      <sz val="13"/>
      <color rgb="FF000000"/>
      <name val="Calibri"/>
      <family val="2"/>
    </font>
    <font>
      <b/>
      <sz val="11"/>
      <color rgb="FF000000"/>
      <name val="Calibri"/>
      <family val="2"/>
    </font>
    <font>
      <b/>
      <sz val="10"/>
      <color rgb="FF000000"/>
      <name val="Arial"/>
      <family val="2"/>
    </font>
    <font>
      <u/>
      <sz val="11"/>
      <color rgb="FF0563C1"/>
      <name val="Calibri"/>
      <family val="2"/>
    </font>
    <font>
      <u/>
      <sz val="10"/>
      <color rgb="FF0000FF"/>
      <name val="Arial"/>
      <family val="2"/>
    </font>
    <font>
      <u/>
      <sz val="12"/>
      <color rgb="FF0000FF"/>
      <name val="Arial"/>
      <family val="2"/>
    </font>
    <font>
      <sz val="12"/>
      <color rgb="FF000000"/>
      <name val="Arial"/>
      <family val="2"/>
    </font>
    <font>
      <sz val="10"/>
      <color rgb="FF000000"/>
      <name val="Arial"/>
      <family val="2"/>
    </font>
    <font>
      <sz val="36"/>
      <color rgb="FF0000FF"/>
      <name val="Arial"/>
      <family val="2"/>
    </font>
    <font>
      <sz val="22"/>
      <color rgb="FF0000FF"/>
      <name val="Arial"/>
      <family val="2"/>
    </font>
    <font>
      <sz val="18"/>
      <color rgb="FF0000FF"/>
      <name val="Arial"/>
      <family val="2"/>
    </font>
    <font>
      <sz val="14"/>
      <color rgb="FF000000"/>
      <name val="Arial"/>
      <family val="2"/>
    </font>
    <font>
      <sz val="11"/>
      <color rgb="FF000000"/>
      <name val="Arial"/>
      <family val="2"/>
    </font>
    <font>
      <b/>
      <sz val="15"/>
      <color rgb="FF000000"/>
      <name val="Arial"/>
      <family val="2"/>
    </font>
    <font>
      <b/>
      <sz val="12"/>
      <color rgb="FF000000"/>
      <name val="Arial"/>
      <family val="2"/>
    </font>
    <font>
      <u/>
      <sz val="12"/>
      <color rgb="FF0563C1"/>
      <name val="Arial"/>
      <family val="2"/>
    </font>
    <font>
      <u/>
      <sz val="12"/>
      <color rgb="FF000000"/>
      <name val="Arial"/>
      <family val="2"/>
    </font>
    <font>
      <b/>
      <sz val="14"/>
      <color rgb="FF000000"/>
      <name val="Arial"/>
      <family val="2"/>
    </font>
    <font>
      <b/>
      <sz val="13"/>
      <color rgb="FF000000"/>
      <name val="Arial"/>
      <family val="2"/>
    </font>
    <font>
      <b/>
      <sz val="9"/>
      <color rgb="FF000000"/>
      <name val="Arial"/>
      <family val="2"/>
    </font>
    <font>
      <sz val="9"/>
      <color rgb="FF000000"/>
      <name val="Arial"/>
      <family val="2"/>
    </font>
    <font>
      <i/>
      <sz val="12"/>
      <color rgb="FF000000"/>
      <name val="Arial"/>
      <family val="2"/>
    </font>
    <font>
      <i/>
      <sz val="9"/>
      <color rgb="FF000000"/>
      <name val="Arial"/>
      <family val="2"/>
    </font>
    <font>
      <b/>
      <i/>
      <sz val="12"/>
      <color rgb="FF000000"/>
      <name val="Arial"/>
      <family val="2"/>
    </font>
    <font>
      <vertAlign val="superscript"/>
      <sz val="12"/>
      <color rgb="FF000000"/>
      <name val="Arial"/>
      <family val="2"/>
    </font>
    <font>
      <b/>
      <vertAlign val="superscript"/>
      <sz val="12"/>
      <color rgb="FF000000"/>
      <name val="Arial"/>
      <family val="2"/>
    </font>
  </fonts>
  <fills count="4">
    <fill>
      <patternFill patternType="none"/>
    </fill>
    <fill>
      <patternFill patternType="gray125"/>
    </fill>
    <fill>
      <patternFill patternType="solid">
        <fgColor rgb="FFC6EFCE"/>
        <bgColor rgb="FFC6EFCE"/>
      </patternFill>
    </fill>
    <fill>
      <patternFill patternType="solid">
        <fgColor rgb="FFFFFFFF"/>
        <bgColor rgb="FFFFFFFF"/>
      </patternFill>
    </fill>
  </fills>
  <borders count="17">
    <border>
      <left/>
      <right/>
      <top/>
      <bottom/>
      <diagonal/>
    </border>
    <border>
      <left/>
      <right/>
      <top/>
      <bottom style="thick">
        <color rgb="FFACCCEA"/>
      </bottom>
      <diagonal/>
    </border>
    <border>
      <left/>
      <right/>
      <top style="thin">
        <color rgb="FF000000"/>
      </top>
      <bottom style="thin">
        <color rgb="FF000000"/>
      </bottom>
      <diagonal/>
    </border>
    <border>
      <left/>
      <right/>
      <top/>
      <bottom style="thin">
        <color rgb="FF000000"/>
      </bottom>
      <diagonal/>
    </border>
    <border>
      <left/>
      <right style="thick">
        <color rgb="FF000000"/>
      </right>
      <top style="thin">
        <color rgb="FF000000"/>
      </top>
      <bottom style="thin">
        <color rgb="FF000000"/>
      </bottom>
      <diagonal/>
    </border>
    <border>
      <left/>
      <right style="thick">
        <color rgb="FF000000"/>
      </right>
      <top/>
      <bottom/>
      <diagonal/>
    </border>
    <border>
      <left/>
      <right style="thick">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right style="thin">
        <color rgb="FF000000"/>
      </right>
      <top/>
      <bottom/>
      <diagonal/>
    </border>
    <border>
      <left style="dotted">
        <color rgb="FF000000"/>
      </left>
      <right/>
      <top/>
      <bottom style="thin">
        <color rgb="FF000000"/>
      </bottom>
      <diagonal/>
    </border>
    <border>
      <left/>
      <right style="dotted">
        <color rgb="FF000000"/>
      </right>
      <top/>
      <bottom style="thin">
        <color rgb="FF000000"/>
      </bottom>
      <diagonal/>
    </border>
  </borders>
  <cellStyleXfs count="41">
    <xf numFmtId="0" fontId="0" fillId="0" borderId="0"/>
    <xf numFmtId="170" fontId="1" fillId="0" borderId="0" applyFont="0" applyFill="0" applyBorder="0" applyAlignment="0" applyProtection="0"/>
    <xf numFmtId="0" fontId="4" fillId="0" borderId="1" applyNumberFormat="0" applyFill="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171" fontId="1" fillId="0" borderId="0" applyFont="0" applyFill="0" applyBorder="0" applyAlignment="0" applyProtection="0"/>
    <xf numFmtId="0" fontId="3"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Fill="0" applyBorder="0" applyAlignment="0" applyProtection="0"/>
    <xf numFmtId="0" fontId="11" fillId="0" borderId="0" applyNumberForma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1" fillId="0" borderId="0" applyNumberFormat="0" applyBorder="0" applyProtection="0"/>
    <xf numFmtId="9" fontId="1" fillId="0" borderId="0" applyFont="0" applyFill="0" applyBorder="0" applyAlignment="0" applyProtection="0"/>
    <xf numFmtId="9" fontId="1" fillId="0" borderId="0" applyFont="0" applyFill="0" applyBorder="0" applyAlignment="0" applyProtection="0"/>
  </cellStyleXfs>
  <cellXfs count="204">
    <xf numFmtId="0" fontId="0" fillId="0" borderId="0" xfId="0"/>
    <xf numFmtId="0" fontId="12" fillId="3" borderId="0" xfId="34" applyFont="1" applyFill="1"/>
    <xf numFmtId="0" fontId="13" fillId="3" borderId="0" xfId="34" applyFont="1" applyFill="1"/>
    <xf numFmtId="0" fontId="14" fillId="3" borderId="0" xfId="34" applyFont="1" applyFill="1"/>
    <xf numFmtId="0" fontId="15" fillId="3" borderId="0" xfId="26" applyFont="1" applyFill="1" applyAlignment="1">
      <alignment vertical="center"/>
    </xf>
    <xf numFmtId="0" fontId="16" fillId="3" borderId="0" xfId="34" applyFont="1" applyFill="1"/>
    <xf numFmtId="0" fontId="0" fillId="3" borderId="0" xfId="34" applyFont="1" applyFill="1"/>
    <xf numFmtId="0" fontId="17" fillId="3" borderId="0" xfId="34" applyFont="1" applyFill="1"/>
    <xf numFmtId="0" fontId="10" fillId="3" borderId="0" xfId="12" applyFont="1" applyFill="1" applyAlignment="1"/>
    <xf numFmtId="0" fontId="0" fillId="3" borderId="0" xfId="36" applyFont="1" applyFill="1"/>
    <xf numFmtId="0" fontId="10" fillId="3" borderId="0" xfId="13" applyFill="1" applyAlignment="1"/>
    <xf numFmtId="0" fontId="18" fillId="3" borderId="0" xfId="7" applyFont="1" applyFill="1"/>
    <xf numFmtId="0" fontId="0" fillId="3" borderId="0" xfId="32" applyFont="1" applyFill="1" applyAlignment="1">
      <alignment wrapText="1"/>
    </xf>
    <xf numFmtId="0" fontId="17" fillId="3" borderId="0" xfId="32" applyFont="1" applyFill="1"/>
    <xf numFmtId="0" fontId="19" fillId="3" borderId="0" xfId="32" applyFont="1" applyFill="1" applyAlignment="1">
      <alignment horizontal="left" vertical="top"/>
    </xf>
    <xf numFmtId="0" fontId="19" fillId="3" borderId="0" xfId="32" applyFont="1" applyFill="1" applyAlignment="1">
      <alignment horizontal="left" vertical="top" wrapText="1"/>
    </xf>
    <xf numFmtId="0" fontId="11" fillId="3" borderId="0" xfId="32" applyFont="1" applyFill="1"/>
    <xf numFmtId="0" fontId="19" fillId="3" borderId="0" xfId="0" applyFont="1" applyFill="1" applyAlignment="1">
      <alignment horizontal="left" vertical="top"/>
    </xf>
    <xf numFmtId="0" fontId="19" fillId="3" borderId="0" xfId="0" applyFont="1" applyFill="1" applyAlignment="1">
      <alignment horizontal="left" vertical="center" wrapText="1"/>
    </xf>
    <xf numFmtId="0" fontId="11" fillId="3" borderId="0" xfId="26" applyFont="1" applyFill="1" applyAlignment="1">
      <alignment horizontal="center" vertical="top"/>
    </xf>
    <xf numFmtId="0" fontId="11" fillId="3" borderId="0" xfId="32" applyFont="1" applyFill="1" applyAlignment="1">
      <alignment horizontal="left" vertical="top" wrapText="1"/>
    </xf>
    <xf numFmtId="0" fontId="11" fillId="3" borderId="0" xfId="0" applyFont="1" applyFill="1" applyAlignment="1">
      <alignment vertical="top" wrapText="1"/>
    </xf>
    <xf numFmtId="0" fontId="20" fillId="3" borderId="0" xfId="11" applyFont="1" applyFill="1" applyAlignment="1">
      <alignment vertical="top"/>
    </xf>
    <xf numFmtId="0" fontId="11" fillId="3" borderId="0" xfId="32" applyFont="1" applyFill="1" applyAlignment="1">
      <alignment vertical="top" wrapText="1"/>
    </xf>
    <xf numFmtId="0" fontId="11" fillId="3" borderId="0" xfId="28" applyFill="1"/>
    <xf numFmtId="0" fontId="11" fillId="3" borderId="0" xfId="0" applyFont="1" applyFill="1" applyAlignment="1">
      <alignment vertical="top"/>
    </xf>
    <xf numFmtId="0" fontId="0" fillId="3" borderId="0" xfId="32" applyFont="1" applyFill="1"/>
    <xf numFmtId="0" fontId="11" fillId="3" borderId="0" xfId="32" applyFont="1" applyFill="1" applyAlignment="1">
      <alignment wrapText="1"/>
    </xf>
    <xf numFmtId="0" fontId="17" fillId="3" borderId="0" xfId="32" applyFont="1" applyFill="1" applyAlignment="1">
      <alignment horizontal="left" vertical="top"/>
    </xf>
    <xf numFmtId="0" fontId="0" fillId="3" borderId="0" xfId="0" applyFill="1"/>
    <xf numFmtId="0" fontId="11" fillId="3" borderId="0" xfId="32" applyFont="1" applyFill="1" applyAlignment="1">
      <alignment horizontal="left" vertical="top"/>
    </xf>
    <xf numFmtId="0" fontId="19" fillId="3" borderId="0" xfId="32" applyFont="1" applyFill="1"/>
    <xf numFmtId="0" fontId="10" fillId="3" borderId="0" xfId="12" applyFont="1" applyFill="1" applyAlignment="1">
      <alignment horizontal="left" vertical="top"/>
    </xf>
    <xf numFmtId="0" fontId="19" fillId="3" borderId="0" xfId="8" applyFont="1" applyFill="1"/>
    <xf numFmtId="0" fontId="11" fillId="3" borderId="0" xfId="27" applyFont="1" applyFill="1" applyAlignment="1">
      <alignment horizontal="left" vertical="top" wrapText="1"/>
    </xf>
    <xf numFmtId="0" fontId="0" fillId="3" borderId="0" xfId="32" applyFont="1" applyFill="1" applyAlignment="1">
      <alignment horizontal="left" vertical="top" wrapText="1"/>
    </xf>
    <xf numFmtId="0" fontId="21" fillId="3" borderId="0" xfId="12" applyFont="1" applyFill="1" applyAlignment="1">
      <alignment horizontal="left" vertical="top" wrapText="1"/>
    </xf>
    <xf numFmtId="0" fontId="22" fillId="3" borderId="0" xfId="8" applyFont="1" applyFill="1" applyAlignment="1">
      <alignment horizontal="left" vertical="top" wrapText="1"/>
    </xf>
    <xf numFmtId="0" fontId="23" fillId="3" borderId="0" xfId="9" applyFont="1" applyFill="1" applyAlignment="1">
      <alignment horizontal="left" vertical="top" wrapText="1"/>
    </xf>
    <xf numFmtId="0" fontId="17" fillId="3" borderId="0" xfId="32" applyFont="1" applyFill="1" applyAlignment="1">
      <alignment horizontal="left" vertical="top" wrapText="1"/>
    </xf>
    <xf numFmtId="0" fontId="0" fillId="3" borderId="0" xfId="26" applyFont="1" applyFill="1" applyAlignment="1">
      <alignment horizontal="left" vertical="top" wrapText="1"/>
    </xf>
    <xf numFmtId="168" fontId="0" fillId="3" borderId="0" xfId="32" applyNumberFormat="1" applyFont="1" applyFill="1" applyAlignment="1">
      <alignment horizontal="left" vertical="top" wrapText="1"/>
    </xf>
    <xf numFmtId="168" fontId="22" fillId="3" borderId="0" xfId="8" applyNumberFormat="1" applyFont="1" applyFill="1" applyAlignment="1">
      <alignment horizontal="left" vertical="top" wrapText="1"/>
    </xf>
    <xf numFmtId="168" fontId="23" fillId="3" borderId="0" xfId="9" applyNumberFormat="1" applyFont="1" applyFill="1" applyAlignment="1">
      <alignment horizontal="left" vertical="top" wrapText="1"/>
    </xf>
    <xf numFmtId="0" fontId="0" fillId="3" borderId="0" xfId="27" applyFont="1" applyFill="1" applyAlignment="1">
      <alignment horizontal="left" vertical="top" wrapText="1"/>
    </xf>
    <xf numFmtId="0" fontId="22" fillId="3" borderId="0" xfId="10" applyFont="1" applyFill="1" applyAlignment="1">
      <alignment horizontal="left" vertical="top" wrapText="1"/>
    </xf>
    <xf numFmtId="0" fontId="22" fillId="3" borderId="0" xfId="7" applyFont="1" applyFill="1"/>
    <xf numFmtId="0" fontId="11" fillId="3" borderId="0" xfId="31" applyFill="1"/>
    <xf numFmtId="0" fontId="19" fillId="3" borderId="2" xfId="31" applyFont="1" applyFill="1" applyBorder="1" applyAlignment="1">
      <alignment horizontal="left" wrapText="1"/>
    </xf>
    <xf numFmtId="0" fontId="11" fillId="3" borderId="3" xfId="31" applyFill="1" applyBorder="1"/>
    <xf numFmtId="0" fontId="0" fillId="3" borderId="0" xfId="30" applyFont="1" applyFill="1"/>
    <xf numFmtId="0" fontId="11" fillId="3" borderId="0" xfId="33" applyFill="1"/>
    <xf numFmtId="0" fontId="11" fillId="3" borderId="0" xfId="30" applyFont="1" applyFill="1"/>
    <xf numFmtId="167" fontId="11" fillId="0" borderId="0" xfId="1" applyNumberFormat="1" applyFont="1" applyFill="1" applyAlignment="1"/>
    <xf numFmtId="167" fontId="19" fillId="0" borderId="0" xfId="1" applyNumberFormat="1" applyFont="1" applyAlignment="1">
      <alignment horizontal="left"/>
    </xf>
    <xf numFmtId="0" fontId="19" fillId="3" borderId="2" xfId="30" applyFont="1" applyFill="1" applyBorder="1" applyAlignment="1">
      <alignment wrapText="1"/>
    </xf>
    <xf numFmtId="0" fontId="19" fillId="3" borderId="2" xfId="30" applyFont="1" applyFill="1" applyBorder="1" applyAlignment="1">
      <alignment horizontal="right" wrapText="1"/>
    </xf>
    <xf numFmtId="0" fontId="0" fillId="3" borderId="0" xfId="30" applyFont="1" applyFill="1" applyAlignment="1">
      <alignment wrapText="1"/>
    </xf>
    <xf numFmtId="3" fontId="11" fillId="3" borderId="0" xfId="30" applyNumberFormat="1" applyFont="1" applyFill="1"/>
    <xf numFmtId="3" fontId="11" fillId="3" borderId="0" xfId="30" applyNumberFormat="1" applyFont="1" applyFill="1" applyAlignment="1">
      <alignment horizontal="right"/>
    </xf>
    <xf numFmtId="1" fontId="11" fillId="3" borderId="0" xfId="40" applyNumberFormat="1" applyFont="1" applyFill="1" applyAlignment="1"/>
    <xf numFmtId="1" fontId="11" fillId="3" borderId="0" xfId="30" applyNumberFormat="1" applyFont="1" applyFill="1"/>
    <xf numFmtId="0" fontId="19" fillId="3" borderId="3" xfId="30" applyFont="1" applyFill="1" applyBorder="1"/>
    <xf numFmtId="0" fontId="19" fillId="3" borderId="3" xfId="30" applyFont="1" applyFill="1" applyBorder="1" applyAlignment="1">
      <alignment horizontal="right"/>
    </xf>
    <xf numFmtId="169" fontId="19" fillId="3" borderId="3" xfId="6" applyNumberFormat="1" applyFont="1" applyFill="1" applyBorder="1" applyAlignment="1">
      <alignment horizontal="right"/>
    </xf>
    <xf numFmtId="1" fontId="19" fillId="3" borderId="3" xfId="40" applyNumberFormat="1" applyFont="1" applyFill="1" applyBorder="1" applyAlignment="1">
      <alignment horizontal="right"/>
    </xf>
    <xf numFmtId="0" fontId="19" fillId="3" borderId="0" xfId="30" applyFont="1" applyFill="1"/>
    <xf numFmtId="0" fontId="19" fillId="3" borderId="0" xfId="30" applyFont="1" applyFill="1" applyAlignment="1">
      <alignment horizontal="right"/>
    </xf>
    <xf numFmtId="169" fontId="19" fillId="3" borderId="0" xfId="6" applyNumberFormat="1" applyFont="1" applyFill="1" applyAlignment="1">
      <alignment horizontal="right"/>
    </xf>
    <xf numFmtId="1" fontId="19" fillId="3" borderId="0" xfId="40" applyNumberFormat="1" applyFont="1" applyFill="1" applyAlignment="1">
      <alignment horizontal="right"/>
    </xf>
    <xf numFmtId="167" fontId="19" fillId="0" borderId="0" xfId="1" applyNumberFormat="1" applyFont="1" applyAlignment="1">
      <alignment horizontal="left" vertical="top"/>
    </xf>
    <xf numFmtId="167" fontId="19" fillId="0" borderId="0" xfId="1" applyNumberFormat="1" applyFont="1" applyAlignment="1"/>
    <xf numFmtId="0" fontId="19" fillId="3" borderId="4" xfId="30" applyFont="1" applyFill="1" applyBorder="1" applyAlignment="1">
      <alignment horizontal="right" wrapText="1"/>
    </xf>
    <xf numFmtId="3" fontId="11" fillId="3" borderId="5" xfId="30" applyNumberFormat="1" applyFont="1" applyFill="1" applyBorder="1"/>
    <xf numFmtId="3" fontId="11" fillId="3" borderId="5" xfId="30" applyNumberFormat="1" applyFont="1" applyFill="1" applyBorder="1" applyAlignment="1">
      <alignment horizontal="right"/>
    </xf>
    <xf numFmtId="169" fontId="19" fillId="3" borderId="6" xfId="6" applyNumberFormat="1" applyFont="1" applyFill="1" applyBorder="1" applyAlignment="1">
      <alignment horizontal="right"/>
    </xf>
    <xf numFmtId="0" fontId="11" fillId="3" borderId="0" xfId="35" applyFill="1"/>
    <xf numFmtId="17" fontId="0" fillId="3" borderId="0" xfId="30" applyNumberFormat="1" applyFont="1" applyFill="1" applyAlignment="1">
      <alignment horizontal="left"/>
    </xf>
    <xf numFmtId="1" fontId="0" fillId="3" borderId="0" xfId="30" applyNumberFormat="1" applyFont="1" applyFill="1"/>
    <xf numFmtId="17" fontId="11" fillId="3" borderId="0" xfId="30" applyNumberFormat="1" applyFont="1" applyFill="1" applyAlignment="1">
      <alignment horizontal="left"/>
    </xf>
    <xf numFmtId="1" fontId="11" fillId="0" borderId="0" xfId="30" applyNumberFormat="1" applyFont="1"/>
    <xf numFmtId="17" fontId="11" fillId="3" borderId="3" xfId="30" applyNumberFormat="1" applyFont="1" applyFill="1" applyBorder="1" applyAlignment="1">
      <alignment horizontal="left"/>
    </xf>
    <xf numFmtId="1" fontId="11" fillId="3" borderId="3" xfId="30" applyNumberFormat="1" applyFont="1" applyFill="1" applyBorder="1"/>
    <xf numFmtId="0" fontId="11" fillId="3" borderId="0" xfId="37" applyFill="1"/>
    <xf numFmtId="0" fontId="19" fillId="3" borderId="0" xfId="30" applyFont="1" applyFill="1" applyAlignment="1">
      <alignment wrapText="1"/>
    </xf>
    <xf numFmtId="0" fontId="11" fillId="3" borderId="0" xfId="30" applyFont="1" applyFill="1" applyAlignment="1">
      <alignment wrapText="1"/>
    </xf>
    <xf numFmtId="17" fontId="11" fillId="3" borderId="0" xfId="30" applyNumberFormat="1" applyFont="1" applyFill="1"/>
    <xf numFmtId="1" fontId="19" fillId="3" borderId="3" xfId="30" applyNumberFormat="1" applyFont="1" applyFill="1" applyBorder="1"/>
    <xf numFmtId="0" fontId="11" fillId="0" borderId="0" xfId="37"/>
    <xf numFmtId="0" fontId="11" fillId="3" borderId="0" xfId="38" applyFill="1"/>
    <xf numFmtId="0" fontId="11" fillId="3" borderId="0" xfId="38" applyFill="1" applyAlignment="1">
      <alignment horizontal="left"/>
    </xf>
    <xf numFmtId="3" fontId="11" fillId="3" borderId="0" xfId="38" applyNumberFormat="1" applyFill="1"/>
    <xf numFmtId="3" fontId="11" fillId="3" borderId="0" xfId="6" applyNumberFormat="1" applyFont="1" applyFill="1"/>
    <xf numFmtId="169" fontId="11" fillId="3" borderId="0" xfId="6" applyNumberFormat="1" applyFont="1" applyFill="1" applyAlignment="1">
      <alignment horizontal="right"/>
    </xf>
    <xf numFmtId="169" fontId="11" fillId="3" borderId="0" xfId="6" applyNumberFormat="1" applyFont="1" applyFill="1"/>
    <xf numFmtId="3" fontId="19" fillId="3" borderId="3" xfId="30" applyNumberFormat="1" applyFont="1" applyFill="1" applyBorder="1"/>
    <xf numFmtId="169" fontId="11" fillId="3" borderId="3" xfId="6" applyNumberFormat="1" applyFont="1" applyFill="1" applyBorder="1"/>
    <xf numFmtId="3" fontId="19" fillId="3" borderId="0" xfId="30" applyNumberFormat="1" applyFont="1" applyFill="1"/>
    <xf numFmtId="0" fontId="19" fillId="0" borderId="2" xfId="30" applyFont="1" applyBorder="1" applyAlignment="1">
      <alignment horizontal="right" wrapText="1"/>
    </xf>
    <xf numFmtId="3" fontId="11" fillId="3" borderId="0" xfId="6" applyNumberFormat="1" applyFont="1" applyFill="1" applyAlignment="1">
      <alignment horizontal="right"/>
    </xf>
    <xf numFmtId="9" fontId="0" fillId="3" borderId="0" xfId="39" applyFont="1" applyFill="1"/>
    <xf numFmtId="0" fontId="11" fillId="3" borderId="3" xfId="30" applyFont="1" applyFill="1" applyBorder="1"/>
    <xf numFmtId="0" fontId="11" fillId="3" borderId="0" xfId="14" applyFill="1"/>
    <xf numFmtId="1" fontId="11" fillId="3" borderId="3" xfId="40" applyNumberFormat="1" applyFont="1" applyFill="1" applyBorder="1" applyAlignment="1"/>
    <xf numFmtId="0" fontId="0" fillId="0" borderId="0" xfId="30" applyFont="1"/>
    <xf numFmtId="0" fontId="11" fillId="3" borderId="0" xfId="15" applyFill="1"/>
    <xf numFmtId="0" fontId="11" fillId="3" borderId="0" xfId="16" applyFill="1"/>
    <xf numFmtId="1" fontId="19" fillId="3" borderId="3" xfId="40" applyNumberFormat="1" applyFont="1" applyFill="1" applyBorder="1" applyAlignment="1"/>
    <xf numFmtId="0" fontId="11" fillId="3" borderId="0" xfId="17" applyFill="1"/>
    <xf numFmtId="0" fontId="11" fillId="3" borderId="0" xfId="18" applyFill="1"/>
    <xf numFmtId="0" fontId="11" fillId="0" borderId="0" xfId="19"/>
    <xf numFmtId="0" fontId="11" fillId="0" borderId="0" xfId="20"/>
    <xf numFmtId="164" fontId="0" fillId="3" borderId="0" xfId="30" applyNumberFormat="1" applyFont="1" applyFill="1"/>
    <xf numFmtId="0" fontId="11" fillId="3" borderId="0" xfId="21" applyFill="1"/>
    <xf numFmtId="0" fontId="11" fillId="3" borderId="0" xfId="22" applyFill="1"/>
    <xf numFmtId="0" fontId="11" fillId="3" borderId="0" xfId="23" applyFill="1"/>
    <xf numFmtId="0" fontId="19" fillId="3" borderId="2" xfId="23" applyFont="1" applyFill="1" applyBorder="1" applyAlignment="1">
      <alignment wrapText="1"/>
    </xf>
    <xf numFmtId="0" fontId="19" fillId="3" borderId="2" xfId="23" applyFont="1" applyFill="1" applyBorder="1" applyAlignment="1">
      <alignment horizontal="left" wrapText="1"/>
    </xf>
    <xf numFmtId="0" fontId="19" fillId="3" borderId="2" xfId="23" applyFont="1" applyFill="1" applyBorder="1" applyAlignment="1">
      <alignment horizontal="right" wrapText="1"/>
    </xf>
    <xf numFmtId="3" fontId="11" fillId="3" borderId="0" xfId="23" applyNumberFormat="1" applyFill="1"/>
    <xf numFmtId="0" fontId="19" fillId="3" borderId="3" xfId="23" applyFont="1" applyFill="1" applyBorder="1"/>
    <xf numFmtId="3" fontId="19" fillId="3" borderId="3" xfId="23" applyNumberFormat="1" applyFont="1" applyFill="1" applyBorder="1"/>
    <xf numFmtId="0" fontId="11" fillId="0" borderId="0" xfId="23"/>
    <xf numFmtId="0" fontId="17" fillId="3" borderId="0" xfId="0" applyFont="1" applyFill="1"/>
    <xf numFmtId="0" fontId="20" fillId="3" borderId="0" xfId="11" applyFont="1" applyFill="1"/>
    <xf numFmtId="0" fontId="11" fillId="3" borderId="0" xfId="29" applyFill="1"/>
    <xf numFmtId="0" fontId="11" fillId="3" borderId="0" xfId="0" applyFont="1" applyFill="1"/>
    <xf numFmtId="0" fontId="22" fillId="3" borderId="0" xfId="0" applyFont="1" applyFill="1" applyAlignment="1">
      <alignment vertical="center"/>
    </xf>
    <xf numFmtId="0" fontId="22" fillId="3" borderId="0" xfId="2" applyFont="1" applyFill="1" applyBorder="1" applyAlignment="1">
      <alignment horizontal="left" vertical="top"/>
    </xf>
    <xf numFmtId="0" fontId="23" fillId="3" borderId="0" xfId="2" applyFont="1" applyFill="1" applyBorder="1" applyAlignment="1">
      <alignment horizontal="left"/>
    </xf>
    <xf numFmtId="165" fontId="23" fillId="3" borderId="0" xfId="2" applyNumberFormat="1" applyFont="1" applyFill="1" applyBorder="1"/>
    <xf numFmtId="0" fontId="23" fillId="3" borderId="0" xfId="2" applyFont="1" applyFill="1" applyBorder="1" applyAlignment="1">
      <alignment horizontal="center"/>
    </xf>
    <xf numFmtId="0" fontId="23" fillId="3" borderId="0" xfId="2" applyFont="1" applyFill="1" applyBorder="1"/>
    <xf numFmtId="0" fontId="19" fillId="3" borderId="2" xfId="0" applyFont="1" applyFill="1" applyBorder="1"/>
    <xf numFmtId="0" fontId="19" fillId="3" borderId="2" xfId="25" applyFont="1" applyFill="1" applyBorder="1" applyAlignment="1">
      <alignment horizontal="right"/>
    </xf>
    <xf numFmtId="0" fontId="11" fillId="3" borderId="0" xfId="0" applyFont="1" applyFill="1" applyAlignment="1">
      <alignment wrapText="1"/>
    </xf>
    <xf numFmtId="1" fontId="11" fillId="3" borderId="0" xfId="0" applyNumberFormat="1" applyFont="1" applyFill="1"/>
    <xf numFmtId="1" fontId="11" fillId="3" borderId="0" xfId="0" applyNumberFormat="1" applyFont="1" applyFill="1" applyAlignment="1">
      <alignment horizontal="right"/>
    </xf>
    <xf numFmtId="1" fontId="11" fillId="3" borderId="0" xfId="0" applyNumberFormat="1" applyFont="1" applyFill="1" applyAlignment="1">
      <alignment horizontal="center"/>
    </xf>
    <xf numFmtId="1" fontId="11" fillId="3" borderId="0" xfId="0" applyNumberFormat="1" applyFont="1" applyFill="1" applyAlignment="1">
      <alignment horizontal="left"/>
    </xf>
    <xf numFmtId="0" fontId="11" fillId="3" borderId="3" xfId="0" applyFont="1" applyFill="1" applyBorder="1"/>
    <xf numFmtId="1" fontId="11" fillId="3" borderId="3" xfId="0" applyNumberFormat="1" applyFont="1" applyFill="1" applyBorder="1"/>
    <xf numFmtId="1" fontId="11" fillId="3" borderId="3" xfId="0" applyNumberFormat="1" applyFont="1" applyFill="1" applyBorder="1" applyAlignment="1">
      <alignment horizontal="right"/>
    </xf>
    <xf numFmtId="1" fontId="11" fillId="3" borderId="3" xfId="0" applyNumberFormat="1" applyFont="1" applyFill="1" applyBorder="1" applyAlignment="1">
      <alignment horizontal="center"/>
    </xf>
    <xf numFmtId="1" fontId="11" fillId="3" borderId="3" xfId="0" applyNumberFormat="1" applyFont="1" applyFill="1" applyBorder="1" applyAlignment="1">
      <alignment horizontal="left"/>
    </xf>
    <xf numFmtId="0" fontId="22" fillId="3" borderId="0" xfId="29" applyFont="1" applyFill="1"/>
    <xf numFmtId="0" fontId="19" fillId="3" borderId="2" xfId="29" applyFont="1" applyFill="1" applyBorder="1"/>
    <xf numFmtId="0" fontId="19" fillId="3" borderId="2" xfId="29" applyFont="1" applyFill="1" applyBorder="1" applyAlignment="1">
      <alignment horizontal="right" wrapText="1"/>
    </xf>
    <xf numFmtId="0" fontId="19" fillId="3" borderId="0" xfId="29" applyFont="1" applyFill="1" applyAlignment="1">
      <alignment horizontal="left" wrapText="1"/>
    </xf>
    <xf numFmtId="1" fontId="19" fillId="3" borderId="0" xfId="29" applyNumberFormat="1" applyFont="1" applyFill="1"/>
    <xf numFmtId="1" fontId="24" fillId="3" borderId="0" xfId="29" applyNumberFormat="1" applyFont="1" applyFill="1"/>
    <xf numFmtId="1" fontId="11" fillId="3" borderId="0" xfId="29" applyNumberFormat="1" applyFill="1"/>
    <xf numFmtId="1" fontId="25" fillId="3" borderId="0" xfId="29" applyNumberFormat="1" applyFont="1" applyFill="1"/>
    <xf numFmtId="0" fontId="11" fillId="3" borderId="0" xfId="29" applyFill="1" applyAlignment="1">
      <alignment horizontal="left"/>
    </xf>
    <xf numFmtId="0" fontId="19" fillId="3" borderId="0" xfId="29" applyFont="1" applyFill="1"/>
    <xf numFmtId="0" fontId="26" fillId="3" borderId="3" xfId="29" applyFont="1" applyFill="1" applyBorder="1"/>
    <xf numFmtId="3" fontId="26" fillId="3" borderId="3" xfId="29" applyNumberFormat="1" applyFont="1" applyFill="1" applyBorder="1" applyAlignment="1">
      <alignment horizontal="right"/>
    </xf>
    <xf numFmtId="3" fontId="27" fillId="3" borderId="0" xfId="29" applyNumberFormat="1" applyFont="1" applyFill="1" applyAlignment="1">
      <alignment horizontal="right"/>
    </xf>
    <xf numFmtId="0" fontId="11" fillId="3" borderId="2" xfId="0" applyFont="1" applyFill="1" applyBorder="1"/>
    <xf numFmtId="0" fontId="19" fillId="3" borderId="2" xfId="0" applyFont="1" applyFill="1" applyBorder="1" applyAlignment="1">
      <alignment horizontal="right"/>
    </xf>
    <xf numFmtId="1" fontId="19" fillId="3" borderId="2" xfId="0" applyNumberFormat="1" applyFont="1" applyFill="1" applyBorder="1" applyAlignment="1">
      <alignment horizontal="right"/>
    </xf>
    <xf numFmtId="0" fontId="11" fillId="3" borderId="3" xfId="0" applyFont="1" applyFill="1" applyBorder="1" applyAlignment="1">
      <alignment wrapText="1"/>
    </xf>
    <xf numFmtId="0" fontId="25" fillId="3" borderId="0" xfId="0" applyFont="1" applyFill="1"/>
    <xf numFmtId="1" fontId="25" fillId="3" borderId="0" xfId="0" applyNumberFormat="1" applyFont="1" applyFill="1"/>
    <xf numFmtId="1" fontId="0" fillId="3" borderId="0" xfId="0" applyNumberFormat="1" applyFill="1"/>
    <xf numFmtId="0" fontId="11" fillId="3" borderId="7" xfId="29" applyFill="1" applyBorder="1"/>
    <xf numFmtId="0" fontId="19" fillId="3" borderId="3" xfId="29" applyFont="1" applyFill="1" applyBorder="1"/>
    <xf numFmtId="0" fontId="19" fillId="3" borderId="3" xfId="29" applyFont="1" applyFill="1" applyBorder="1" applyAlignment="1">
      <alignment horizontal="right" wrapText="1"/>
    </xf>
    <xf numFmtId="0" fontId="28" fillId="3" borderId="3" xfId="29" applyFont="1" applyFill="1" applyBorder="1" applyAlignment="1">
      <alignment horizontal="right" wrapText="1"/>
    </xf>
    <xf numFmtId="0" fontId="19" fillId="3" borderId="10" xfId="29" applyFont="1" applyFill="1" applyBorder="1" applyAlignment="1">
      <alignment horizontal="right" wrapText="1"/>
    </xf>
    <xf numFmtId="0" fontId="28" fillId="3" borderId="11" xfId="29" applyFont="1" applyFill="1" applyBorder="1" applyAlignment="1">
      <alignment horizontal="right" wrapText="1"/>
    </xf>
    <xf numFmtId="0" fontId="11" fillId="3" borderId="0" xfId="29" applyFill="1" applyAlignment="1">
      <alignment wrapText="1"/>
    </xf>
    <xf numFmtId="1" fontId="11" fillId="3" borderId="0" xfId="29" applyNumberFormat="1" applyFill="1" applyAlignment="1">
      <alignment horizontal="right"/>
    </xf>
    <xf numFmtId="3" fontId="26" fillId="3" borderId="0" xfId="29" applyNumberFormat="1" applyFont="1" applyFill="1" applyAlignment="1">
      <alignment horizontal="right"/>
    </xf>
    <xf numFmtId="1" fontId="11" fillId="3" borderId="12" xfId="29" applyNumberFormat="1" applyFill="1" applyBorder="1"/>
    <xf numFmtId="3" fontId="26" fillId="3" borderId="13" xfId="29" applyNumberFormat="1" applyFont="1" applyFill="1" applyBorder="1" applyAlignment="1">
      <alignment horizontal="right"/>
    </xf>
    <xf numFmtId="3" fontId="26" fillId="3" borderId="14" xfId="29" applyNumberFormat="1" applyFont="1" applyFill="1" applyBorder="1" applyAlignment="1">
      <alignment horizontal="right"/>
    </xf>
    <xf numFmtId="0" fontId="11" fillId="3" borderId="3" xfId="29" applyFill="1" applyBorder="1" applyAlignment="1">
      <alignment wrapText="1"/>
    </xf>
    <xf numFmtId="1" fontId="11" fillId="3" borderId="3" xfId="29" applyNumberFormat="1" applyFill="1" applyBorder="1" applyAlignment="1">
      <alignment horizontal="right"/>
    </xf>
    <xf numFmtId="1" fontId="11" fillId="3" borderId="15" xfId="29" applyNumberFormat="1" applyFill="1" applyBorder="1"/>
    <xf numFmtId="3" fontId="26" fillId="3" borderId="16" xfId="29" applyNumberFormat="1" applyFont="1" applyFill="1" applyBorder="1" applyAlignment="1">
      <alignment horizontal="right"/>
    </xf>
    <xf numFmtId="3" fontId="26" fillId="3" borderId="11" xfId="29" applyNumberFormat="1" applyFont="1" applyFill="1" applyBorder="1" applyAlignment="1">
      <alignment horizontal="right"/>
    </xf>
    <xf numFmtId="0" fontId="11" fillId="3" borderId="2" xfId="29" applyFill="1" applyBorder="1" applyAlignment="1">
      <alignment horizontal="right" wrapText="1"/>
    </xf>
    <xf numFmtId="0" fontId="26" fillId="3" borderId="2" xfId="29" applyFont="1" applyFill="1" applyBorder="1" applyAlignment="1">
      <alignment horizontal="right" wrapText="1"/>
    </xf>
    <xf numFmtId="166" fontId="19" fillId="3" borderId="0" xfId="29" applyNumberFormat="1" applyFont="1" applyFill="1" applyAlignment="1">
      <alignment horizontal="right"/>
    </xf>
    <xf numFmtId="165" fontId="19" fillId="3" borderId="0" xfId="29" applyNumberFormat="1" applyFont="1" applyFill="1"/>
    <xf numFmtId="167" fontId="19" fillId="3" borderId="0" xfId="1" applyNumberFormat="1" applyFont="1" applyFill="1"/>
    <xf numFmtId="166" fontId="11" fillId="3" borderId="0" xfId="29" applyNumberFormat="1" applyFill="1" applyAlignment="1">
      <alignment horizontal="right"/>
    </xf>
    <xf numFmtId="165" fontId="11" fillId="3" borderId="0" xfId="29" applyNumberFormat="1" applyFill="1"/>
    <xf numFmtId="167" fontId="11" fillId="3" borderId="0" xfId="1" applyNumberFormat="1" applyFont="1" applyFill="1"/>
    <xf numFmtId="3" fontId="11" fillId="3" borderId="0" xfId="29" applyNumberFormat="1" applyFill="1" applyAlignment="1">
      <alignment horizontal="left"/>
    </xf>
    <xf numFmtId="3" fontId="11" fillId="3" borderId="3" xfId="29" applyNumberFormat="1" applyFill="1" applyBorder="1" applyAlignment="1">
      <alignment horizontal="left"/>
    </xf>
    <xf numFmtId="166" fontId="11" fillId="3" borderId="3" xfId="29" applyNumberFormat="1" applyFill="1" applyBorder="1" applyAlignment="1">
      <alignment horizontal="right"/>
    </xf>
    <xf numFmtId="165" fontId="11" fillId="3" borderId="3" xfId="29" applyNumberFormat="1" applyFill="1" applyBorder="1"/>
    <xf numFmtId="167" fontId="11" fillId="3" borderId="3" xfId="1" applyNumberFormat="1" applyFont="1" applyFill="1" applyBorder="1"/>
    <xf numFmtId="0" fontId="19" fillId="3" borderId="2" xfId="0" applyFont="1" applyFill="1" applyBorder="1" applyAlignment="1">
      <alignment horizontal="left" wrapText="1"/>
    </xf>
    <xf numFmtId="0" fontId="19" fillId="3" borderId="2" xfId="0" applyFont="1" applyFill="1" applyBorder="1" applyAlignment="1">
      <alignment horizontal="right" wrapText="1"/>
    </xf>
    <xf numFmtId="1" fontId="19" fillId="3" borderId="2" xfId="0" applyNumberFormat="1" applyFont="1" applyFill="1" applyBorder="1" applyAlignment="1">
      <alignment horizontal="right" wrapText="1"/>
    </xf>
    <xf numFmtId="0" fontId="25" fillId="3" borderId="0" xfId="29" applyFont="1" applyFill="1"/>
    <xf numFmtId="0" fontId="11" fillId="3" borderId="3" xfId="29" applyFill="1" applyBorder="1"/>
    <xf numFmtId="1" fontId="11" fillId="3" borderId="3" xfId="29" applyNumberFormat="1" applyFill="1" applyBorder="1"/>
    <xf numFmtId="0" fontId="19" fillId="3" borderId="2" xfId="25" applyFont="1" applyFill="1" applyBorder="1" applyAlignment="1">
      <alignment horizontal="center"/>
    </xf>
    <xf numFmtId="0" fontId="19" fillId="3" borderId="9" xfId="0" applyFont="1" applyFill="1" applyBorder="1" applyAlignment="1">
      <alignment horizontal="center" vertical="top" wrapText="1"/>
    </xf>
    <xf numFmtId="0" fontId="19" fillId="3" borderId="8" xfId="0" applyFont="1" applyFill="1" applyBorder="1" applyAlignment="1">
      <alignment horizontal="center" vertical="top" wrapText="1"/>
    </xf>
  </cellXfs>
  <cellStyles count="41">
    <cellStyle name="cf1" xfId="3" xr:uid="{71F507AA-292E-49CE-8AF4-48A5B00993E8}"/>
    <cellStyle name="cf2" xfId="4" xr:uid="{8D9F36BC-6337-417B-BC19-C29676AAC4D4}"/>
    <cellStyle name="cf3" xfId="5" xr:uid="{18642D65-0EF3-4C0B-869A-EED504667CE0}"/>
    <cellStyle name="Comma" xfId="1" builtinId="3" customBuiltin="1"/>
    <cellStyle name="Comma 2" xfId="6" xr:uid="{6821C448-EB38-4D21-B84B-CF586C00E2BB}"/>
    <cellStyle name="Heading 1 2" xfId="7" xr:uid="{A85182E0-93E6-46C1-A3C4-63384416A142}"/>
    <cellStyle name="Heading 2" xfId="2" builtinId="17" customBuiltin="1"/>
    <cellStyle name="Heading 2 2" xfId="8" xr:uid="{789D8657-09B0-43B6-94CD-7E40E7B8D1EA}"/>
    <cellStyle name="Heading 3 2" xfId="9" xr:uid="{A2E5289F-16E9-478A-809B-3E52FBECEDB8}"/>
    <cellStyle name="Headings 2" xfId="10" xr:uid="{F7321DFA-D0FA-4451-91A8-1FEE03E890D8}"/>
    <cellStyle name="Hyperlink" xfId="11" xr:uid="{CD357309-17BC-47F1-BE82-10C47C82B9FE}"/>
    <cellStyle name="Hyperlink 2" xfId="12" xr:uid="{D08F8110-F0FE-472B-A2FD-14BE8F178ECA}"/>
    <cellStyle name="Hyperlink 2 2 2" xfId="13" xr:uid="{D9E6EC82-7579-4B36-AEA3-B548B389F4AE}"/>
    <cellStyle name="Normal" xfId="0" builtinId="0" customBuiltin="1"/>
    <cellStyle name="Normal 10" xfId="14" xr:uid="{F1D965D4-55F3-4147-BD6A-1AB8B5439CD8}"/>
    <cellStyle name="Normal 11" xfId="15" xr:uid="{F407644E-252D-4978-B0E8-25F7526FD22D}"/>
    <cellStyle name="Normal 12" xfId="16" xr:uid="{C4384C57-43B4-405A-898C-38B6BC31E4B5}"/>
    <cellStyle name="Normal 13" xfId="17" xr:uid="{EBC24918-F324-46B8-BBB0-AEE7A7C40378}"/>
    <cellStyle name="Normal 14" xfId="18" xr:uid="{59F83CE1-2A89-4810-B13A-B888F7B1B7B0}"/>
    <cellStyle name="Normal 15" xfId="19" xr:uid="{6DA1233D-3701-49BB-BB49-C74ABAA1EEAB}"/>
    <cellStyle name="Normal 16" xfId="20" xr:uid="{F496DE99-57CE-4F1F-B89F-5246DBE82A84}"/>
    <cellStyle name="Normal 17" xfId="21" xr:uid="{1F06FA37-41EC-4352-9D64-14E2B9C3AB0B}"/>
    <cellStyle name="Normal 18" xfId="22" xr:uid="{4627C716-F03C-44CD-A63B-3A3EEFE954FC}"/>
    <cellStyle name="Normal 19" xfId="23" xr:uid="{BC7F0DBC-01D9-46E6-B224-6A9EE127D40E}"/>
    <cellStyle name="Normal 2" xfId="24" xr:uid="{5D3678AE-B2EA-43C8-9E8B-9CD99731C7EE}"/>
    <cellStyle name="Normal 2 2" xfId="25" xr:uid="{3C0438DE-233E-4717-A0CD-7F76FF167822}"/>
    <cellStyle name="Normal 2 2 2" xfId="26" xr:uid="{3FD8E79F-67F3-478B-ACE2-C34342BFF558}"/>
    <cellStyle name="Normal 2 3" xfId="27" xr:uid="{D4BB3AF7-2D40-4C08-9484-900ECFA8ED0A}"/>
    <cellStyle name="Normal 20" xfId="28" xr:uid="{B05A6905-A7CF-4F1D-9AD1-0E65CFD1B6F2}"/>
    <cellStyle name="Normal 3" xfId="29" xr:uid="{345A51FE-272B-4E5D-B2B0-457184D5B049}"/>
    <cellStyle name="Normal 3 2" xfId="30" xr:uid="{AEEA30AB-86C2-47E7-8C77-1EFA1313EBFC}"/>
    <cellStyle name="Normal 4" xfId="31" xr:uid="{EF907EB3-D167-4790-BB80-E6EB34E99590}"/>
    <cellStyle name="Normal 5" xfId="32" xr:uid="{4E81A5E5-ACD3-4C64-BD64-740205042449}"/>
    <cellStyle name="Normal 6" xfId="33" xr:uid="{D41EC4C3-B853-4212-B1D5-64FA03392184}"/>
    <cellStyle name="Normal 6 2 2" xfId="34" xr:uid="{B3EB122C-1C96-419C-BC77-F8C28D3C1D7D}"/>
    <cellStyle name="Normal 7" xfId="35" xr:uid="{9D251028-23ED-46A0-BB56-AB22712D9439}"/>
    <cellStyle name="Normal 7 2" xfId="36" xr:uid="{1770C103-EABA-467B-9856-147B79AE25A2}"/>
    <cellStyle name="Normal 8" xfId="37" xr:uid="{94D2E6DC-D8A1-4767-9B8F-51257CC1C471}"/>
    <cellStyle name="Normal 9" xfId="38" xr:uid="{3DC7E9FD-4FD8-4F0B-A811-01B0A6F21F7F}"/>
    <cellStyle name="Percent" xfId="39" xr:uid="{452AFC52-4ABD-45E5-A3E0-7E7901E18D39}"/>
    <cellStyle name="Percent 2" xfId="40" xr:uid="{10C9454A-E357-4EC1-8DAB-F9904466884A}"/>
  </cellStyles>
  <dxfs count="4">
    <dxf>
      <font>
        <color rgb="FF006100"/>
        <family val="2"/>
      </font>
      <fill>
        <patternFill patternType="solid">
          <fgColor rgb="FFC6EFCE"/>
          <bgColor rgb="FFC6EFCE"/>
        </patternFill>
      </fill>
    </dxf>
    <dxf>
      <font>
        <color rgb="FF006100"/>
        <family val="2"/>
      </font>
      <fill>
        <patternFill patternType="solid">
          <fgColor rgb="FFC6EFCE"/>
          <bgColor rgb="FFC6EFCE"/>
        </patternFill>
      </fill>
    </dxf>
    <dxf>
      <font>
        <color rgb="FF006100"/>
        <family val="2"/>
      </font>
      <fill>
        <patternFill patternType="solid">
          <fgColor rgb="FFC6EFCE"/>
          <bgColor rgb="FFC6EFCE"/>
        </patternFill>
      </fill>
    </dxf>
    <dxf>
      <font>
        <color rgb="FF006100"/>
        <family val="2"/>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76196</xdr:colOff>
      <xdr:row>0</xdr:row>
      <xdr:rowOff>83823</xdr:rowOff>
    </xdr:from>
    <xdr:ext cx="1638303" cy="771442"/>
    <xdr:pic>
      <xdr:nvPicPr>
        <xdr:cNvPr id="2" name="Picture 4" descr="Home Office logo">
          <a:extLst>
            <a:ext uri="{FF2B5EF4-FFF2-40B4-BE49-F238E27FC236}">
              <a16:creationId xmlns:a16="http://schemas.microsoft.com/office/drawing/2014/main" id="{B5D9978D-921E-789D-252B-EDB9D28D6118}"/>
            </a:ext>
          </a:extLst>
        </xdr:cNvPr>
        <xdr:cNvPicPr>
          <a:picLocks noChangeAspect="1"/>
        </xdr:cNvPicPr>
      </xdr:nvPicPr>
      <xdr:blipFill>
        <a:blip xmlns:r="http://schemas.openxmlformats.org/officeDocument/2006/relationships" r:embed="rId1"/>
        <a:srcRect/>
        <a:stretch>
          <a:fillRect/>
        </a:stretch>
      </xdr:blipFill>
      <xdr:spPr>
        <a:xfrm>
          <a:off x="76196" y="83823"/>
          <a:ext cx="1638303" cy="771442"/>
        </a:xfrm>
        <a:prstGeom prst="rect">
          <a:avLst/>
        </a:prstGeom>
        <a:noFill/>
        <a:ln cap="flat">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4C030-2E51-4E34-940F-CEFAA25344B1}" name="Table_2d" displayName="Table_2d" ref="A37:O42" totalsRowShown="0">
  <autoFilter ref="A37:O42" xr:uid="{C494C030-2E51-4E34-940F-CEFAA25344B1}"/>
  <tableColumns count="15">
    <tableColumn id="1" xr3:uid="{9ABCC93C-EC02-48E2-A4C0-EC8E1E13B22B}" name="Hate crime strand"/>
    <tableColumn id="2" xr3:uid="{68EEAB19-8126-428A-A6D8-7680EAB7F230}" name="2011/12"/>
    <tableColumn id="3" xr3:uid="{73D35BF3-E0D6-4E0D-9842-46EE71D234B3}" name="2012/13"/>
    <tableColumn id="4" xr3:uid="{012F331F-3BB5-4284-A2E0-0DE9D11D3D9C}" name="2013/14"/>
    <tableColumn id="5" xr3:uid="{07699542-598A-4547-A2E3-B20F5015D095}" name="2014/15"/>
    <tableColumn id="6" xr3:uid="{0A9F8C2C-BC68-4893-AB5B-DB10C8C92A50}" name="2015/16"/>
    <tableColumn id="7" xr3:uid="{08CF885E-040E-461A-A67C-9C931E7D068C}" name="2016/17"/>
    <tableColumn id="8" xr3:uid="{7499AB11-A5A9-45C0-BE30-96C882508CE1}" name="2017/18"/>
    <tableColumn id="9" xr3:uid="{10D5CEDC-E0C1-417C-A0AF-4B902683133D}" name="2018/19 "/>
    <tableColumn id="10" xr3:uid="{3932C9A4-06B1-43DC-A2A7-E53AF9A84E48}" name="2019/20"/>
    <tableColumn id="11" xr3:uid="{6B86606E-71F2-4660-AD36-E813DAF639EF}" name="2020/21"/>
    <tableColumn id="12" xr3:uid="{8BF4338B-EEF8-48A9-B0CA-51E9647610C0}" name="2021/22"/>
    <tableColumn id="13" xr3:uid="{1C9AEF25-8F81-46D4-863D-20CE3161E199}" name="2022/23"/>
    <tableColumn id="14" xr3:uid="{62B70595-9928-49B7-97DA-361D8C9C92B6}" name="2023/24"/>
    <tableColumn id="15" xr3:uid="{E0851019-57BC-4DF2-A89F-DAD6841EF3EF}" name="2024/25"/>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crimeandpolicestats@homeoffice.gov.u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announcements/hate-crime-england-and-wales-year-ending-march-2025"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report-it.org.uk/"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1BB0-E51F-4D91-8910-7CC2F3F4F0E0}">
  <dimension ref="A7:C19"/>
  <sheetViews>
    <sheetView workbookViewId="0"/>
  </sheetViews>
  <sheetFormatPr defaultRowHeight="12.75" x14ac:dyDescent="0.2"/>
  <cols>
    <col min="1" max="1" width="2.7109375" style="1" customWidth="1"/>
    <col min="2" max="2" width="76" style="1" bestFit="1" customWidth="1"/>
    <col min="3" max="256" width="9.85546875" style="1" customWidth="1"/>
    <col min="257" max="257" width="2.7109375" style="1" customWidth="1"/>
    <col min="258" max="258" width="76" style="1" bestFit="1" customWidth="1"/>
    <col min="259" max="512" width="9.85546875" style="1" customWidth="1"/>
    <col min="513" max="513" width="2.7109375" style="1" customWidth="1"/>
    <col min="514" max="514" width="76" style="1" bestFit="1" customWidth="1"/>
    <col min="515" max="768" width="9.85546875" style="1" customWidth="1"/>
    <col min="769" max="769" width="2.7109375" style="1" customWidth="1"/>
    <col min="770" max="770" width="76" style="1" bestFit="1" customWidth="1"/>
    <col min="771" max="1024" width="9.85546875" style="1" customWidth="1"/>
    <col min="1025" max="1025" width="2.7109375" style="1" customWidth="1"/>
    <col min="1026" max="1026" width="76" style="1" bestFit="1" customWidth="1"/>
    <col min="1027" max="1280" width="9.85546875" style="1" customWidth="1"/>
    <col min="1281" max="1281" width="2.7109375" style="1" customWidth="1"/>
    <col min="1282" max="1282" width="76" style="1" bestFit="1" customWidth="1"/>
    <col min="1283" max="1536" width="9.85546875" style="1" customWidth="1"/>
    <col min="1537" max="1537" width="2.7109375" style="1" customWidth="1"/>
    <col min="1538" max="1538" width="76" style="1" bestFit="1" customWidth="1"/>
    <col min="1539" max="1792" width="9.85546875" style="1" customWidth="1"/>
    <col min="1793" max="1793" width="2.7109375" style="1" customWidth="1"/>
    <col min="1794" max="1794" width="76" style="1" bestFit="1" customWidth="1"/>
    <col min="1795" max="2048" width="9.85546875" style="1" customWidth="1"/>
    <col min="2049" max="2049" width="2.7109375" style="1" customWidth="1"/>
    <col min="2050" max="2050" width="76" style="1" bestFit="1" customWidth="1"/>
    <col min="2051" max="2304" width="9.85546875" style="1" customWidth="1"/>
    <col min="2305" max="2305" width="2.7109375" style="1" customWidth="1"/>
    <col min="2306" max="2306" width="76" style="1" bestFit="1" customWidth="1"/>
    <col min="2307" max="2560" width="9.85546875" style="1" customWidth="1"/>
    <col min="2561" max="2561" width="2.7109375" style="1" customWidth="1"/>
    <col min="2562" max="2562" width="76" style="1" bestFit="1" customWidth="1"/>
    <col min="2563" max="2816" width="9.85546875" style="1" customWidth="1"/>
    <col min="2817" max="2817" width="2.7109375" style="1" customWidth="1"/>
    <col min="2818" max="2818" width="76" style="1" bestFit="1" customWidth="1"/>
    <col min="2819" max="3072" width="9.85546875" style="1" customWidth="1"/>
    <col min="3073" max="3073" width="2.7109375" style="1" customWidth="1"/>
    <col min="3074" max="3074" width="76" style="1" bestFit="1" customWidth="1"/>
    <col min="3075" max="3328" width="9.85546875" style="1" customWidth="1"/>
    <col min="3329" max="3329" width="2.7109375" style="1" customWidth="1"/>
    <col min="3330" max="3330" width="76" style="1" bestFit="1" customWidth="1"/>
    <col min="3331" max="3584" width="9.85546875" style="1" customWidth="1"/>
    <col min="3585" max="3585" width="2.7109375" style="1" customWidth="1"/>
    <col min="3586" max="3586" width="76" style="1" bestFit="1" customWidth="1"/>
    <col min="3587" max="3840" width="9.85546875" style="1" customWidth="1"/>
    <col min="3841" max="3841" width="2.7109375" style="1" customWidth="1"/>
    <col min="3842" max="3842" width="76" style="1" bestFit="1" customWidth="1"/>
    <col min="3843" max="4096" width="9.85546875" style="1" customWidth="1"/>
    <col min="4097" max="4097" width="2.7109375" style="1" customWidth="1"/>
    <col min="4098" max="4098" width="76" style="1" bestFit="1" customWidth="1"/>
    <col min="4099" max="4352" width="9.85546875" style="1" customWidth="1"/>
    <col min="4353" max="4353" width="2.7109375" style="1" customWidth="1"/>
    <col min="4354" max="4354" width="76" style="1" bestFit="1" customWidth="1"/>
    <col min="4355" max="4608" width="9.85546875" style="1" customWidth="1"/>
    <col min="4609" max="4609" width="2.7109375" style="1" customWidth="1"/>
    <col min="4610" max="4610" width="76" style="1" bestFit="1" customWidth="1"/>
    <col min="4611" max="4864" width="9.85546875" style="1" customWidth="1"/>
    <col min="4865" max="4865" width="2.7109375" style="1" customWidth="1"/>
    <col min="4866" max="4866" width="76" style="1" bestFit="1" customWidth="1"/>
    <col min="4867" max="5120" width="9.85546875" style="1" customWidth="1"/>
    <col min="5121" max="5121" width="2.7109375" style="1" customWidth="1"/>
    <col min="5122" max="5122" width="76" style="1" bestFit="1" customWidth="1"/>
    <col min="5123" max="5376" width="9.85546875" style="1" customWidth="1"/>
    <col min="5377" max="5377" width="2.7109375" style="1" customWidth="1"/>
    <col min="5378" max="5378" width="76" style="1" bestFit="1" customWidth="1"/>
    <col min="5379" max="5632" width="9.85546875" style="1" customWidth="1"/>
    <col min="5633" max="5633" width="2.7109375" style="1" customWidth="1"/>
    <col min="5634" max="5634" width="76" style="1" bestFit="1" customWidth="1"/>
    <col min="5635" max="5888" width="9.85546875" style="1" customWidth="1"/>
    <col min="5889" max="5889" width="2.7109375" style="1" customWidth="1"/>
    <col min="5890" max="5890" width="76" style="1" bestFit="1" customWidth="1"/>
    <col min="5891" max="6144" width="9.85546875" style="1" customWidth="1"/>
    <col min="6145" max="6145" width="2.7109375" style="1" customWidth="1"/>
    <col min="6146" max="6146" width="76" style="1" bestFit="1" customWidth="1"/>
    <col min="6147" max="6400" width="9.85546875" style="1" customWidth="1"/>
    <col min="6401" max="6401" width="2.7109375" style="1" customWidth="1"/>
    <col min="6402" max="6402" width="76" style="1" bestFit="1" customWidth="1"/>
    <col min="6403" max="6656" width="9.85546875" style="1" customWidth="1"/>
    <col min="6657" max="6657" width="2.7109375" style="1" customWidth="1"/>
    <col min="6658" max="6658" width="76" style="1" bestFit="1" customWidth="1"/>
    <col min="6659" max="6912" width="9.85546875" style="1" customWidth="1"/>
    <col min="6913" max="6913" width="2.7109375" style="1" customWidth="1"/>
    <col min="6914" max="6914" width="76" style="1" bestFit="1" customWidth="1"/>
    <col min="6915" max="7168" width="9.85546875" style="1" customWidth="1"/>
    <col min="7169" max="7169" width="2.7109375" style="1" customWidth="1"/>
    <col min="7170" max="7170" width="76" style="1" bestFit="1" customWidth="1"/>
    <col min="7171" max="7424" width="9.85546875" style="1" customWidth="1"/>
    <col min="7425" max="7425" width="2.7109375" style="1" customWidth="1"/>
    <col min="7426" max="7426" width="76" style="1" bestFit="1" customWidth="1"/>
    <col min="7427" max="7680" width="9.85546875" style="1" customWidth="1"/>
    <col min="7681" max="7681" width="2.7109375" style="1" customWidth="1"/>
    <col min="7682" max="7682" width="76" style="1" bestFit="1" customWidth="1"/>
    <col min="7683" max="7936" width="9.85546875" style="1" customWidth="1"/>
    <col min="7937" max="7937" width="2.7109375" style="1" customWidth="1"/>
    <col min="7938" max="7938" width="76" style="1" bestFit="1" customWidth="1"/>
    <col min="7939" max="8192" width="9.85546875" style="1" customWidth="1"/>
    <col min="8193" max="8193" width="2.7109375" style="1" customWidth="1"/>
    <col min="8194" max="8194" width="76" style="1" bestFit="1" customWidth="1"/>
    <col min="8195" max="8448" width="9.85546875" style="1" customWidth="1"/>
    <col min="8449" max="8449" width="2.7109375" style="1" customWidth="1"/>
    <col min="8450" max="8450" width="76" style="1" bestFit="1" customWidth="1"/>
    <col min="8451" max="8704" width="9.85546875" style="1" customWidth="1"/>
    <col min="8705" max="8705" width="2.7109375" style="1" customWidth="1"/>
    <col min="8706" max="8706" width="76" style="1" bestFit="1" customWidth="1"/>
    <col min="8707" max="8960" width="9.85546875" style="1" customWidth="1"/>
    <col min="8961" max="8961" width="2.7109375" style="1" customWidth="1"/>
    <col min="8962" max="8962" width="76" style="1" bestFit="1" customWidth="1"/>
    <col min="8963" max="9216" width="9.85546875" style="1" customWidth="1"/>
    <col min="9217" max="9217" width="2.7109375" style="1" customWidth="1"/>
    <col min="9218" max="9218" width="76" style="1" bestFit="1" customWidth="1"/>
    <col min="9219" max="9472" width="9.85546875" style="1" customWidth="1"/>
    <col min="9473" max="9473" width="2.7109375" style="1" customWidth="1"/>
    <col min="9474" max="9474" width="76" style="1" bestFit="1" customWidth="1"/>
    <col min="9475" max="9728" width="9.85546875" style="1" customWidth="1"/>
    <col min="9729" max="9729" width="2.7109375" style="1" customWidth="1"/>
    <col min="9730" max="9730" width="76" style="1" bestFit="1" customWidth="1"/>
    <col min="9731" max="9984" width="9.85546875" style="1" customWidth="1"/>
    <col min="9985" max="9985" width="2.7109375" style="1" customWidth="1"/>
    <col min="9986" max="9986" width="76" style="1" bestFit="1" customWidth="1"/>
    <col min="9987" max="10240" width="9.85546875" style="1" customWidth="1"/>
    <col min="10241" max="10241" width="2.7109375" style="1" customWidth="1"/>
    <col min="10242" max="10242" width="76" style="1" bestFit="1" customWidth="1"/>
    <col min="10243" max="10496" width="9.85546875" style="1" customWidth="1"/>
    <col min="10497" max="10497" width="2.7109375" style="1" customWidth="1"/>
    <col min="10498" max="10498" width="76" style="1" bestFit="1" customWidth="1"/>
    <col min="10499" max="10752" width="9.85546875" style="1" customWidth="1"/>
    <col min="10753" max="10753" width="2.7109375" style="1" customWidth="1"/>
    <col min="10754" max="10754" width="76" style="1" bestFit="1" customWidth="1"/>
    <col min="10755" max="11008" width="9.85546875" style="1" customWidth="1"/>
    <col min="11009" max="11009" width="2.7109375" style="1" customWidth="1"/>
    <col min="11010" max="11010" width="76" style="1" bestFit="1" customWidth="1"/>
    <col min="11011" max="11264" width="9.85546875" style="1" customWidth="1"/>
    <col min="11265" max="11265" width="2.7109375" style="1" customWidth="1"/>
    <col min="11266" max="11266" width="76" style="1" bestFit="1" customWidth="1"/>
    <col min="11267" max="11520" width="9.85546875" style="1" customWidth="1"/>
    <col min="11521" max="11521" width="2.7109375" style="1" customWidth="1"/>
    <col min="11522" max="11522" width="76" style="1" bestFit="1" customWidth="1"/>
    <col min="11523" max="11776" width="9.85546875" style="1" customWidth="1"/>
    <col min="11777" max="11777" width="2.7109375" style="1" customWidth="1"/>
    <col min="11778" max="11778" width="76" style="1" bestFit="1" customWidth="1"/>
    <col min="11779" max="12032" width="9.85546875" style="1" customWidth="1"/>
    <col min="12033" max="12033" width="2.7109375" style="1" customWidth="1"/>
    <col min="12034" max="12034" width="76" style="1" bestFit="1" customWidth="1"/>
    <col min="12035" max="12288" width="9.85546875" style="1" customWidth="1"/>
    <col min="12289" max="12289" width="2.7109375" style="1" customWidth="1"/>
    <col min="12290" max="12290" width="76" style="1" bestFit="1" customWidth="1"/>
    <col min="12291" max="12544" width="9.85546875" style="1" customWidth="1"/>
    <col min="12545" max="12545" width="2.7109375" style="1" customWidth="1"/>
    <col min="12546" max="12546" width="76" style="1" bestFit="1" customWidth="1"/>
    <col min="12547" max="12800" width="9.85546875" style="1" customWidth="1"/>
    <col min="12801" max="12801" width="2.7109375" style="1" customWidth="1"/>
    <col min="12802" max="12802" width="76" style="1" bestFit="1" customWidth="1"/>
    <col min="12803" max="13056" width="9.85546875" style="1" customWidth="1"/>
    <col min="13057" max="13057" width="2.7109375" style="1" customWidth="1"/>
    <col min="13058" max="13058" width="76" style="1" bestFit="1" customWidth="1"/>
    <col min="13059" max="13312" width="9.85546875" style="1" customWidth="1"/>
    <col min="13313" max="13313" width="2.7109375" style="1" customWidth="1"/>
    <col min="13314" max="13314" width="76" style="1" bestFit="1" customWidth="1"/>
    <col min="13315" max="13568" width="9.85546875" style="1" customWidth="1"/>
    <col min="13569" max="13569" width="2.7109375" style="1" customWidth="1"/>
    <col min="13570" max="13570" width="76" style="1" bestFit="1" customWidth="1"/>
    <col min="13571" max="13824" width="9.85546875" style="1" customWidth="1"/>
    <col min="13825" max="13825" width="2.7109375" style="1" customWidth="1"/>
    <col min="13826" max="13826" width="76" style="1" bestFit="1" customWidth="1"/>
    <col min="13827" max="14080" width="9.85546875" style="1" customWidth="1"/>
    <col min="14081" max="14081" width="2.7109375" style="1" customWidth="1"/>
    <col min="14082" max="14082" width="76" style="1" bestFit="1" customWidth="1"/>
    <col min="14083" max="14336" width="9.85546875" style="1" customWidth="1"/>
    <col min="14337" max="14337" width="2.7109375" style="1" customWidth="1"/>
    <col min="14338" max="14338" width="76" style="1" bestFit="1" customWidth="1"/>
    <col min="14339" max="14592" width="9.85546875" style="1" customWidth="1"/>
    <col min="14593" max="14593" width="2.7109375" style="1" customWidth="1"/>
    <col min="14594" max="14594" width="76" style="1" bestFit="1" customWidth="1"/>
    <col min="14595" max="14848" width="9.85546875" style="1" customWidth="1"/>
    <col min="14849" max="14849" width="2.7109375" style="1" customWidth="1"/>
    <col min="14850" max="14850" width="76" style="1" bestFit="1" customWidth="1"/>
    <col min="14851" max="15104" width="9.85546875" style="1" customWidth="1"/>
    <col min="15105" max="15105" width="2.7109375" style="1" customWidth="1"/>
    <col min="15106" max="15106" width="76" style="1" bestFit="1" customWidth="1"/>
    <col min="15107" max="15360" width="9.85546875" style="1" customWidth="1"/>
    <col min="15361" max="15361" width="2.7109375" style="1" customWidth="1"/>
    <col min="15362" max="15362" width="76" style="1" bestFit="1" customWidth="1"/>
    <col min="15363" max="15616" width="9.85546875" style="1" customWidth="1"/>
    <col min="15617" max="15617" width="2.7109375" style="1" customWidth="1"/>
    <col min="15618" max="15618" width="76" style="1" bestFit="1" customWidth="1"/>
    <col min="15619" max="15872" width="9.85546875" style="1" customWidth="1"/>
    <col min="15873" max="15873" width="2.7109375" style="1" customWidth="1"/>
    <col min="15874" max="15874" width="76" style="1" bestFit="1" customWidth="1"/>
    <col min="15875" max="16128" width="9.85546875" style="1" customWidth="1"/>
    <col min="16129" max="16129" width="2.7109375" style="1" customWidth="1"/>
    <col min="16130" max="16130" width="76" style="1" bestFit="1" customWidth="1"/>
    <col min="16131" max="16384" width="9.85546875" style="1" customWidth="1"/>
  </cols>
  <sheetData>
    <row r="7" spans="1:3" ht="44.25" x14ac:dyDescent="0.55000000000000004">
      <c r="A7" s="2"/>
      <c r="B7" s="3" t="s">
        <v>0</v>
      </c>
    </row>
    <row r="8" spans="1:3" ht="23.25" x14ac:dyDescent="0.2">
      <c r="B8" s="4" t="s">
        <v>1</v>
      </c>
    </row>
    <row r="9" spans="1:3" ht="18" x14ac:dyDescent="0.25">
      <c r="B9" s="5"/>
    </row>
    <row r="10" spans="1:3" ht="23.25" x14ac:dyDescent="0.2">
      <c r="B10" s="4"/>
    </row>
    <row r="11" spans="1:3" ht="18" x14ac:dyDescent="0.25">
      <c r="B11" s="5"/>
    </row>
    <row r="12" spans="1:3" ht="18" x14ac:dyDescent="0.25">
      <c r="B12" s="5"/>
    </row>
    <row r="13" spans="1:3" ht="15" x14ac:dyDescent="0.25">
      <c r="A13" s="6"/>
      <c r="B13" s="7" t="s">
        <v>2</v>
      </c>
      <c r="C13" s="6"/>
    </row>
    <row r="14" spans="1:3" ht="15.75" x14ac:dyDescent="0.25">
      <c r="A14" s="6"/>
      <c r="B14" s="8" t="s">
        <v>3</v>
      </c>
      <c r="C14" s="6"/>
    </row>
    <row r="15" spans="1:3" ht="15" x14ac:dyDescent="0.25">
      <c r="A15" s="6"/>
      <c r="B15" s="7" t="s">
        <v>4</v>
      </c>
      <c r="C15" s="9"/>
    </row>
    <row r="16" spans="1:3" ht="14.25" x14ac:dyDescent="0.2">
      <c r="B16" s="7" t="s">
        <v>5</v>
      </c>
    </row>
    <row r="18" spans="2:2" ht="15" x14ac:dyDescent="0.2">
      <c r="B18" s="8" t="s">
        <v>6</v>
      </c>
    </row>
    <row r="19" spans="2:2" ht="15" x14ac:dyDescent="0.2">
      <c r="B19" s="10"/>
    </row>
  </sheetData>
  <hyperlinks>
    <hyperlink ref="B14" r:id="rId1" xr:uid="{28E91863-AB03-4430-87BD-63117302DBFE}"/>
    <hyperlink ref="B18" location="Table_of_contents!A1" display="Contents" xr:uid="{1D8B3651-F406-4F72-9F66-9B16759D7912}"/>
  </hyperlinks>
  <pageMargins left="0.70000000000000007" right="0.70000000000000007" top="0.75" bottom="0.75" header="0.30000000000000004" footer="0.30000000000000004"/>
  <pageSetup paperSize="0" fitToWidth="0" fitToHeight="0" orientation="portrait" horizontalDpi="0" verticalDpi="0" copie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E2C1-4181-4F8B-9116-D8E92C3E419D}">
  <dimension ref="A1:D27"/>
  <sheetViews>
    <sheetView workbookViewId="0"/>
  </sheetViews>
  <sheetFormatPr defaultColWidth="11.42578125" defaultRowHeight="15" x14ac:dyDescent="0.25"/>
  <cols>
    <col min="1" max="1" width="33.42578125" style="26" customWidth="1"/>
    <col min="2" max="2" width="95.140625" style="12" customWidth="1"/>
    <col min="3" max="3" width="62" style="26" customWidth="1"/>
    <col min="4" max="4" width="21" style="26" customWidth="1"/>
    <col min="5" max="5" width="11.42578125" style="26" customWidth="1"/>
    <col min="6" max="16384" width="11.42578125" style="26"/>
  </cols>
  <sheetData>
    <row r="1" spans="1:4" s="13" customFormat="1" ht="19.5" x14ac:dyDescent="0.3">
      <c r="A1" s="11" t="s">
        <v>7</v>
      </c>
      <c r="B1" s="12"/>
    </row>
    <row r="2" spans="1:4" s="13" customFormat="1" ht="15.75" x14ac:dyDescent="0.2">
      <c r="A2" s="14" t="s">
        <v>8</v>
      </c>
      <c r="B2" s="15" t="s">
        <v>9</v>
      </c>
      <c r="C2" s="16"/>
    </row>
    <row r="3" spans="1:4" s="13" customFormat="1" ht="15.75" x14ac:dyDescent="0.2">
      <c r="A3" s="17" t="s">
        <v>10</v>
      </c>
      <c r="B3" s="17" t="s">
        <v>10</v>
      </c>
      <c r="C3" s="18" t="s">
        <v>11</v>
      </c>
      <c r="D3" s="18" t="s">
        <v>12</v>
      </c>
    </row>
    <row r="4" spans="1:4" s="13" customFormat="1" ht="45.6" customHeight="1" x14ac:dyDescent="0.2">
      <c r="A4" s="19">
        <v>1</v>
      </c>
      <c r="B4" s="20" t="s">
        <v>13</v>
      </c>
      <c r="C4" s="21" t="s">
        <v>14</v>
      </c>
      <c r="D4" s="22" t="s">
        <v>15</v>
      </c>
    </row>
    <row r="5" spans="1:4" s="13" customFormat="1" ht="45.6" customHeight="1" x14ac:dyDescent="0.2">
      <c r="A5" s="19">
        <v>2</v>
      </c>
      <c r="B5" s="20" t="s">
        <v>16</v>
      </c>
      <c r="C5" s="21" t="s">
        <v>14</v>
      </c>
      <c r="D5" s="22" t="s">
        <v>17</v>
      </c>
    </row>
    <row r="6" spans="1:4" s="13" customFormat="1" ht="45.6" customHeight="1" x14ac:dyDescent="0.2">
      <c r="A6" s="19">
        <v>3</v>
      </c>
      <c r="B6" s="20" t="s">
        <v>18</v>
      </c>
      <c r="C6" s="21" t="s">
        <v>14</v>
      </c>
      <c r="D6" s="22" t="s">
        <v>19</v>
      </c>
    </row>
    <row r="7" spans="1:4" s="13" customFormat="1" ht="45.6" customHeight="1" x14ac:dyDescent="0.2">
      <c r="A7" s="19">
        <v>4</v>
      </c>
      <c r="B7" s="20" t="s">
        <v>20</v>
      </c>
      <c r="C7" s="21" t="s">
        <v>14</v>
      </c>
      <c r="D7" s="22" t="s">
        <v>21</v>
      </c>
    </row>
    <row r="8" spans="1:4" s="13" customFormat="1" ht="45.6" customHeight="1" x14ac:dyDescent="0.2">
      <c r="A8" s="19">
        <v>5</v>
      </c>
      <c r="B8" s="20" t="s">
        <v>22</v>
      </c>
      <c r="C8" s="21" t="s">
        <v>14</v>
      </c>
      <c r="D8" s="22" t="s">
        <v>23</v>
      </c>
    </row>
    <row r="9" spans="1:4" s="13" customFormat="1" ht="45.6" customHeight="1" x14ac:dyDescent="0.2">
      <c r="A9" s="19">
        <v>6</v>
      </c>
      <c r="B9" s="23" t="s">
        <v>24</v>
      </c>
      <c r="C9" s="21" t="s">
        <v>14</v>
      </c>
      <c r="D9" s="22" t="s">
        <v>25</v>
      </c>
    </row>
    <row r="10" spans="1:4" s="13" customFormat="1" ht="45.6" customHeight="1" x14ac:dyDescent="0.2">
      <c r="A10" s="19">
        <v>7</v>
      </c>
      <c r="B10" s="23" t="s">
        <v>26</v>
      </c>
      <c r="C10" s="21" t="s">
        <v>14</v>
      </c>
      <c r="D10" s="22" t="s">
        <v>27</v>
      </c>
    </row>
    <row r="11" spans="1:4" s="13" customFormat="1" ht="45.6" customHeight="1" x14ac:dyDescent="0.2">
      <c r="A11" s="19">
        <v>8</v>
      </c>
      <c r="B11" s="23" t="s">
        <v>28</v>
      </c>
      <c r="C11" s="21" t="s">
        <v>14</v>
      </c>
      <c r="D11" s="22" t="s">
        <v>29</v>
      </c>
    </row>
    <row r="12" spans="1:4" s="13" customFormat="1" ht="45.6" customHeight="1" x14ac:dyDescent="0.2">
      <c r="A12" s="19">
        <v>9</v>
      </c>
      <c r="B12" s="20" t="s">
        <v>30</v>
      </c>
      <c r="C12" s="21" t="s">
        <v>14</v>
      </c>
      <c r="D12" s="22" t="s">
        <v>31</v>
      </c>
    </row>
    <row r="13" spans="1:4" s="24" customFormat="1" ht="45.6" customHeight="1" x14ac:dyDescent="0.2">
      <c r="A13" s="19">
        <v>10</v>
      </c>
      <c r="B13" s="23" t="s">
        <v>32</v>
      </c>
      <c r="C13" s="21" t="s">
        <v>14</v>
      </c>
      <c r="D13" s="22" t="s">
        <v>33</v>
      </c>
    </row>
    <row r="14" spans="1:4" s="24" customFormat="1" ht="45.6" customHeight="1" x14ac:dyDescent="0.2">
      <c r="A14" s="19">
        <v>11</v>
      </c>
      <c r="B14" s="23" t="s">
        <v>34</v>
      </c>
      <c r="C14" s="21" t="s">
        <v>14</v>
      </c>
      <c r="D14" s="22" t="s">
        <v>35</v>
      </c>
    </row>
    <row r="15" spans="1:4" s="24" customFormat="1" ht="45.6" customHeight="1" x14ac:dyDescent="0.2">
      <c r="A15" s="19">
        <v>12</v>
      </c>
      <c r="B15" s="23" t="s">
        <v>36</v>
      </c>
      <c r="C15" s="21" t="s">
        <v>14</v>
      </c>
      <c r="D15" s="22" t="s">
        <v>37</v>
      </c>
    </row>
    <row r="16" spans="1:4" s="24" customFormat="1" ht="45.6" customHeight="1" x14ac:dyDescent="0.2">
      <c r="A16" s="19">
        <v>13</v>
      </c>
      <c r="B16" s="23" t="s">
        <v>38</v>
      </c>
      <c r="C16" s="21" t="s">
        <v>14</v>
      </c>
      <c r="D16" s="22" t="s">
        <v>39</v>
      </c>
    </row>
    <row r="17" spans="1:4" s="24" customFormat="1" ht="45.6" customHeight="1" x14ac:dyDescent="0.2">
      <c r="A17" s="19">
        <v>14</v>
      </c>
      <c r="B17" s="23" t="s">
        <v>40</v>
      </c>
      <c r="C17" s="21" t="s">
        <v>14</v>
      </c>
      <c r="D17" s="22" t="s">
        <v>41</v>
      </c>
    </row>
    <row r="18" spans="1:4" s="24" customFormat="1" ht="45.6" customHeight="1" x14ac:dyDescent="0.2">
      <c r="A18" s="19">
        <v>15</v>
      </c>
      <c r="B18" s="23" t="s">
        <v>42</v>
      </c>
      <c r="C18" s="21" t="s">
        <v>14</v>
      </c>
      <c r="D18" s="22" t="s">
        <v>43</v>
      </c>
    </row>
    <row r="19" spans="1:4" s="24" customFormat="1" ht="30.6" customHeight="1" x14ac:dyDescent="0.2">
      <c r="A19" s="17" t="s">
        <v>44</v>
      </c>
      <c r="B19" s="17" t="s">
        <v>10</v>
      </c>
      <c r="C19" s="21"/>
    </row>
    <row r="20" spans="1:4" s="24" customFormat="1" ht="33.950000000000003" customHeight="1" x14ac:dyDescent="0.2">
      <c r="A20" s="19">
        <v>16</v>
      </c>
      <c r="B20" s="23" t="s">
        <v>45</v>
      </c>
      <c r="C20" s="25" t="s">
        <v>46</v>
      </c>
      <c r="D20" s="22" t="s">
        <v>47</v>
      </c>
    </row>
    <row r="21" spans="1:4" ht="33.950000000000003" customHeight="1" x14ac:dyDescent="0.25">
      <c r="A21" s="19">
        <v>17</v>
      </c>
      <c r="B21" s="23" t="s">
        <v>48</v>
      </c>
      <c r="C21" s="25" t="s">
        <v>46</v>
      </c>
      <c r="D21" s="22" t="s">
        <v>49</v>
      </c>
    </row>
    <row r="22" spans="1:4" ht="33.950000000000003" customHeight="1" x14ac:dyDescent="0.25">
      <c r="A22" s="19">
        <v>18</v>
      </c>
      <c r="B22" s="23" t="s">
        <v>50</v>
      </c>
      <c r="C22" s="25" t="s">
        <v>46</v>
      </c>
      <c r="D22" s="22" t="s">
        <v>51</v>
      </c>
    </row>
    <row r="23" spans="1:4" ht="33.950000000000003" customHeight="1" x14ac:dyDescent="0.25">
      <c r="A23" s="19">
        <v>19</v>
      </c>
      <c r="B23" s="23" t="s">
        <v>52</v>
      </c>
      <c r="C23" s="25" t="s">
        <v>46</v>
      </c>
      <c r="D23" s="22" t="s">
        <v>53</v>
      </c>
    </row>
    <row r="24" spans="1:4" ht="33.950000000000003" customHeight="1" x14ac:dyDescent="0.25">
      <c r="A24" s="19">
        <v>20</v>
      </c>
      <c r="B24" s="23" t="s">
        <v>54</v>
      </c>
      <c r="C24" s="25" t="s">
        <v>46</v>
      </c>
      <c r="D24" s="22" t="s">
        <v>55</v>
      </c>
    </row>
    <row r="25" spans="1:4" ht="33.950000000000003" customHeight="1" x14ac:dyDescent="0.25">
      <c r="A25" s="19">
        <v>21</v>
      </c>
      <c r="B25" s="23" t="s">
        <v>56</v>
      </c>
      <c r="C25" s="25" t="s">
        <v>46</v>
      </c>
      <c r="D25" s="22" t="s">
        <v>57</v>
      </c>
    </row>
    <row r="26" spans="1:4" ht="33.950000000000003" customHeight="1" x14ac:dyDescent="0.25">
      <c r="A26" s="19">
        <v>22</v>
      </c>
      <c r="B26" s="23" t="s">
        <v>58</v>
      </c>
      <c r="C26" s="25" t="s">
        <v>46</v>
      </c>
      <c r="D26" s="22" t="s">
        <v>59</v>
      </c>
    </row>
    <row r="27" spans="1:4" ht="15.75" x14ac:dyDescent="0.25">
      <c r="A27" s="19"/>
      <c r="B27" s="27"/>
      <c r="C27" s="25"/>
    </row>
  </sheetData>
  <hyperlinks>
    <hyperlink ref="D4" location="'1'!A1" display="Link to Table 1" xr:uid="{E067E189-73F8-429B-8A7F-6ADE7FAEFF3A}"/>
    <hyperlink ref="D5" location="'2'!A1" display="Link to Table 2" xr:uid="{8D7FB3C3-F3C3-438B-92A1-ACD2184ED996}"/>
    <hyperlink ref="D6" location="'3'!A1" display="Link to Table 3" xr:uid="{F3DD2B70-B07C-43EC-8685-987F1B497FD6}"/>
    <hyperlink ref="D7" location="'4'!A1" display="Link to Table 4" xr:uid="{839CB107-0578-40B7-A4CC-58BBF62778AE}"/>
    <hyperlink ref="D8" location="'5'!A1" display="Link to Table 5" xr:uid="{42791672-E27D-48C2-852D-1D5C11424EFE}"/>
    <hyperlink ref="D9" location="'6'!A1" display="Link to Table 6" xr:uid="{EFF1C7D0-805B-4B75-BA4C-3B95D63F67D6}"/>
    <hyperlink ref="D10" location="'7'!A1" display="Link to Table 7" xr:uid="{58322111-F6C9-42A8-9F95-5F79C800330E}"/>
    <hyperlink ref="D11" location="'8'!A1" display="Link to Table 8" xr:uid="{4BB8B025-86B2-4DB7-B821-E5ECB0A522B2}"/>
    <hyperlink ref="D12" location="'9'!A1" display="Link to Table 9" xr:uid="{1718C108-56F7-40FD-BDE2-9E3383A1921E}"/>
    <hyperlink ref="D13" location="'10'!A1" display="Link to Table 10" xr:uid="{DAFB1FCE-594D-4154-9F6F-7D131A60CE62}"/>
    <hyperlink ref="D14" location="'11'!A1" display="Link to Table 11" xr:uid="{65A39615-19EE-4B5C-AD47-0D4253E09168}"/>
    <hyperlink ref="D15" location="'12'!A1" display="Link to Table 12" xr:uid="{9328B726-3761-4D86-A8B5-188ADFF40713}"/>
    <hyperlink ref="D16" location="'13'!A1" display="Link to Table 13" xr:uid="{6DEDA6E9-BDD1-400D-87C5-EB0E64376C95}"/>
    <hyperlink ref="D17" location="'14'!A1" display="Link to Table 14" xr:uid="{A8D3FC51-8AA8-4262-9F0A-9242AE85E859}"/>
    <hyperlink ref="D18" location="'15'!A1" display="Link to Table 15" xr:uid="{5C760EB9-5F54-4DBE-9B86-0B3D70EEFFEA}"/>
    <hyperlink ref="D20" location="'16'!A1" display="Link to Table 16" xr:uid="{44F5DF43-233C-40D5-A836-4BFE36EC661E}"/>
    <hyperlink ref="D21" location="'17'!A1" display="Link to Table 17" xr:uid="{A1FD4C46-DD22-48F0-BBE9-9D59A43F3396}"/>
    <hyperlink ref="D22" location="'18'!A1" display="Link to Table 18" xr:uid="{07F68DE6-C8FF-426E-981E-7A5E16C858A9}"/>
    <hyperlink ref="D23" location="'19'!A1" display="Link to Table 19" xr:uid="{45DFF093-2EE3-4D82-89EE-BA06B5E17206}"/>
    <hyperlink ref="D24" location="'20'!A1" display="Link to Table 20" xr:uid="{83745653-94C2-4233-A58F-7BF0CB9C1FA8}"/>
    <hyperlink ref="D25" location="'21'!A1" display="Link to Table 21" xr:uid="{DD81D1BD-CBCD-4F0B-BCE2-5D7349B0F549}"/>
    <hyperlink ref="D26" location="'22'!A1" display="Link to Table 22" xr:uid="{D800685C-DA7A-4A9D-BEAA-90DD56E5C27F}"/>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38F5-6104-44E3-8EB2-7A01850557FF}">
  <dimension ref="A1:G77"/>
  <sheetViews>
    <sheetView workbookViewId="0">
      <selection activeCell="B8" sqref="B8"/>
    </sheetView>
  </sheetViews>
  <sheetFormatPr defaultColWidth="12.28515625" defaultRowHeight="14.25" x14ac:dyDescent="0.2"/>
  <cols>
    <col min="1" max="1" width="20.140625" style="13" customWidth="1"/>
    <col min="2" max="2" width="131.28515625" style="28" customWidth="1"/>
    <col min="3" max="3" width="51" style="13" customWidth="1"/>
    <col min="4" max="4" width="12.28515625" style="13" customWidth="1"/>
    <col min="5" max="16384" width="12.28515625" style="13"/>
  </cols>
  <sheetData>
    <row r="1" spans="1:7" s="29" customFormat="1" ht="19.5" x14ac:dyDescent="0.3">
      <c r="A1" s="11" t="s">
        <v>60</v>
      </c>
      <c r="B1" s="28"/>
      <c r="C1" s="13"/>
      <c r="D1" s="13"/>
      <c r="E1" s="13"/>
      <c r="F1" s="13"/>
      <c r="G1" s="13"/>
    </row>
    <row r="2" spans="1:7" s="29" customFormat="1" ht="15.75" x14ac:dyDescent="0.25">
      <c r="A2" s="16" t="s">
        <v>61</v>
      </c>
      <c r="B2" s="30"/>
      <c r="C2" s="16"/>
      <c r="D2" s="16"/>
      <c r="E2" s="16"/>
      <c r="F2" s="16"/>
      <c r="G2" s="13"/>
    </row>
    <row r="3" spans="1:7" s="26" customFormat="1" ht="15.75" x14ac:dyDescent="0.25">
      <c r="A3" s="31" t="s">
        <v>62</v>
      </c>
      <c r="B3" s="14" t="s">
        <v>63</v>
      </c>
      <c r="C3" s="16" t="s">
        <v>64</v>
      </c>
      <c r="D3" s="16"/>
      <c r="E3" s="16"/>
      <c r="F3" s="16"/>
      <c r="G3" s="13"/>
    </row>
    <row r="4" spans="1:7" s="26" customFormat="1" ht="51.6" customHeight="1" x14ac:dyDescent="0.25">
      <c r="A4" s="30">
        <v>1</v>
      </c>
      <c r="B4" s="21" t="s">
        <v>65</v>
      </c>
      <c r="C4" s="32" t="s">
        <v>66</v>
      </c>
      <c r="D4" s="16"/>
      <c r="E4" s="16"/>
      <c r="F4" s="16"/>
      <c r="G4" s="13"/>
    </row>
    <row r="5" spans="1:7" s="26" customFormat="1" ht="34.9" customHeight="1" x14ac:dyDescent="0.25">
      <c r="A5" s="30">
        <v>2</v>
      </c>
      <c r="B5" s="20" t="s">
        <v>67</v>
      </c>
      <c r="C5" s="32" t="s">
        <v>68</v>
      </c>
      <c r="D5" s="16"/>
      <c r="E5" s="16"/>
      <c r="F5" s="16"/>
      <c r="G5" s="33"/>
    </row>
    <row r="6" spans="1:7" s="26" customFormat="1" ht="56.1" customHeight="1" x14ac:dyDescent="0.25">
      <c r="A6" s="30">
        <v>3</v>
      </c>
      <c r="B6" s="20" t="s">
        <v>69</v>
      </c>
      <c r="C6" s="30"/>
      <c r="D6" s="16"/>
      <c r="E6" s="16"/>
      <c r="F6" s="16"/>
      <c r="G6" s="33"/>
    </row>
    <row r="7" spans="1:7" s="26" customFormat="1" ht="49.15" customHeight="1" x14ac:dyDescent="0.25">
      <c r="A7" s="30">
        <v>4</v>
      </c>
      <c r="B7" s="20" t="s">
        <v>70</v>
      </c>
      <c r="C7" s="32" t="s">
        <v>71</v>
      </c>
      <c r="D7" s="16"/>
      <c r="E7" s="16"/>
      <c r="F7" s="16"/>
      <c r="G7" s="33"/>
    </row>
    <row r="8" spans="1:7" s="26" customFormat="1" ht="37.35" customHeight="1" x14ac:dyDescent="0.25">
      <c r="A8" s="30">
        <v>5</v>
      </c>
      <c r="B8" s="20" t="s">
        <v>72</v>
      </c>
      <c r="C8" s="30"/>
      <c r="D8" s="16"/>
      <c r="E8" s="16"/>
      <c r="F8" s="16"/>
      <c r="G8" s="33"/>
    </row>
    <row r="9" spans="1:7" s="26" customFormat="1" ht="70.150000000000006" customHeight="1" x14ac:dyDescent="0.25">
      <c r="A9" s="30">
        <v>6</v>
      </c>
      <c r="B9" s="34" t="s">
        <v>73</v>
      </c>
      <c r="C9" s="30"/>
      <c r="D9" s="16"/>
      <c r="E9" s="16"/>
      <c r="F9" s="16"/>
      <c r="G9" s="33"/>
    </row>
    <row r="10" spans="1:7" s="26" customFormat="1" ht="56.45" customHeight="1" x14ac:dyDescent="0.25">
      <c r="A10" s="30">
        <v>7</v>
      </c>
      <c r="B10" s="34" t="s">
        <v>74</v>
      </c>
      <c r="C10" s="30"/>
      <c r="D10" s="16"/>
      <c r="E10" s="16"/>
      <c r="F10" s="16"/>
      <c r="G10" s="33"/>
    </row>
    <row r="11" spans="1:7" s="26" customFormat="1" ht="52.35" customHeight="1" x14ac:dyDescent="0.25">
      <c r="A11" s="30">
        <v>8</v>
      </c>
      <c r="B11" s="20" t="s">
        <v>75</v>
      </c>
      <c r="C11" s="16"/>
      <c r="D11" s="16"/>
      <c r="E11" s="16"/>
      <c r="F11" s="16"/>
    </row>
    <row r="12" spans="1:7" s="26" customFormat="1" ht="26.1" customHeight="1" x14ac:dyDescent="0.25">
      <c r="A12" s="30">
        <v>9</v>
      </c>
      <c r="B12" s="20" t="s">
        <v>76</v>
      </c>
      <c r="C12" s="16"/>
      <c r="D12" s="16"/>
      <c r="E12" s="16"/>
      <c r="F12" s="16"/>
      <c r="G12" s="33"/>
    </row>
    <row r="13" spans="1:7" s="26" customFormat="1" ht="41.45" customHeight="1" x14ac:dyDescent="0.25">
      <c r="A13" s="30">
        <v>10</v>
      </c>
      <c r="B13" s="20" t="s">
        <v>77</v>
      </c>
      <c r="C13" s="16"/>
      <c r="D13" s="16"/>
      <c r="E13" s="16"/>
      <c r="F13" s="16"/>
      <c r="G13" s="33"/>
    </row>
    <row r="14" spans="1:7" s="26" customFormat="1" ht="52.35" customHeight="1" x14ac:dyDescent="0.25">
      <c r="A14" s="30">
        <v>11</v>
      </c>
      <c r="B14" s="20" t="s">
        <v>78</v>
      </c>
      <c r="C14" s="16"/>
      <c r="D14" s="16"/>
      <c r="E14" s="16"/>
      <c r="F14" s="16"/>
      <c r="G14" s="33"/>
    </row>
    <row r="15" spans="1:7" s="26" customFormat="1" ht="22.35" customHeight="1" x14ac:dyDescent="0.25">
      <c r="A15" s="30">
        <v>12</v>
      </c>
      <c r="B15" s="34" t="s">
        <v>79</v>
      </c>
      <c r="C15" s="16"/>
      <c r="D15" s="16"/>
      <c r="E15" s="16"/>
      <c r="F15" s="16"/>
    </row>
    <row r="16" spans="1:7" s="26" customFormat="1" ht="30" x14ac:dyDescent="0.25">
      <c r="A16" s="30">
        <v>13</v>
      </c>
      <c r="B16" s="20" t="s">
        <v>80</v>
      </c>
      <c r="C16" s="16"/>
      <c r="D16" s="16"/>
      <c r="E16" s="16"/>
      <c r="F16" s="16"/>
      <c r="G16" s="13"/>
    </row>
    <row r="17" spans="1:7" s="26" customFormat="1" ht="45" x14ac:dyDescent="0.25">
      <c r="A17" s="30">
        <v>14</v>
      </c>
      <c r="B17" s="20" t="s">
        <v>81</v>
      </c>
      <c r="C17" s="13"/>
      <c r="D17" s="13"/>
      <c r="E17" s="13"/>
      <c r="F17" s="13"/>
      <c r="G17" s="13"/>
    </row>
    <row r="18" spans="1:7" s="26" customFormat="1" ht="15" x14ac:dyDescent="0.25">
      <c r="A18" s="13"/>
      <c r="B18" s="35"/>
      <c r="C18" s="13"/>
      <c r="D18" s="13"/>
      <c r="E18" s="13"/>
      <c r="F18" s="13"/>
      <c r="G18" s="13"/>
    </row>
    <row r="19" spans="1:7" s="26" customFormat="1" ht="15" x14ac:dyDescent="0.25">
      <c r="A19" s="13"/>
      <c r="B19" s="36"/>
      <c r="C19" s="13"/>
      <c r="D19" s="13"/>
      <c r="E19" s="13"/>
      <c r="F19" s="13"/>
      <c r="G19" s="13"/>
    </row>
    <row r="20" spans="1:7" s="26" customFormat="1" ht="18" x14ac:dyDescent="0.25">
      <c r="A20" s="13"/>
      <c r="B20" s="37"/>
      <c r="C20" s="13"/>
      <c r="D20" s="13"/>
      <c r="E20" s="13"/>
      <c r="F20" s="13"/>
      <c r="G20" s="13"/>
    </row>
    <row r="21" spans="1:7" s="26" customFormat="1" ht="15" x14ac:dyDescent="0.25">
      <c r="A21" s="13"/>
      <c r="B21" s="35"/>
      <c r="C21" s="13"/>
      <c r="D21" s="13"/>
      <c r="E21" s="13"/>
      <c r="F21" s="13"/>
      <c r="G21" s="13"/>
    </row>
    <row r="22" spans="1:7" s="26" customFormat="1" ht="18" x14ac:dyDescent="0.25">
      <c r="A22" s="13"/>
      <c r="B22" s="37"/>
      <c r="C22" s="13"/>
      <c r="D22" s="13"/>
      <c r="E22" s="13"/>
      <c r="F22" s="13"/>
      <c r="G22" s="13"/>
    </row>
    <row r="23" spans="1:7" s="26" customFormat="1" ht="16.5" x14ac:dyDescent="0.25">
      <c r="A23" s="13"/>
      <c r="B23" s="38"/>
      <c r="C23" s="13"/>
      <c r="D23" s="13"/>
      <c r="E23" s="13"/>
      <c r="F23" s="13"/>
      <c r="G23" s="13"/>
    </row>
    <row r="24" spans="1:7" s="26" customFormat="1" ht="15" x14ac:dyDescent="0.25">
      <c r="A24" s="13"/>
      <c r="B24" s="35"/>
      <c r="C24" s="13"/>
      <c r="D24" s="13"/>
      <c r="E24" s="13"/>
      <c r="F24" s="13"/>
      <c r="G24" s="13"/>
    </row>
    <row r="25" spans="1:7" s="26" customFormat="1" ht="16.5" x14ac:dyDescent="0.25">
      <c r="A25" s="13"/>
      <c r="B25" s="38"/>
      <c r="C25" s="13"/>
      <c r="D25" s="13"/>
      <c r="E25" s="13"/>
      <c r="F25" s="13"/>
      <c r="G25" s="13"/>
    </row>
    <row r="26" spans="1:7" s="26" customFormat="1" ht="15" x14ac:dyDescent="0.25">
      <c r="A26" s="13"/>
      <c r="B26" s="35"/>
      <c r="C26" s="13"/>
      <c r="D26" s="13"/>
      <c r="E26" s="13"/>
      <c r="F26" s="13"/>
      <c r="G26" s="13"/>
    </row>
    <row r="27" spans="1:7" s="26" customFormat="1" ht="15" x14ac:dyDescent="0.25">
      <c r="A27" s="13"/>
      <c r="B27" s="36"/>
      <c r="C27" s="13"/>
      <c r="D27" s="13"/>
      <c r="E27" s="13"/>
      <c r="F27" s="13"/>
      <c r="G27" s="13"/>
    </row>
    <row r="28" spans="1:7" s="26" customFormat="1" ht="18" x14ac:dyDescent="0.25">
      <c r="A28" s="13"/>
      <c r="B28" s="37"/>
      <c r="C28" s="13"/>
      <c r="D28" s="13"/>
      <c r="E28" s="13"/>
      <c r="F28" s="13"/>
      <c r="G28" s="13"/>
    </row>
    <row r="29" spans="1:7" s="26" customFormat="1" ht="15" x14ac:dyDescent="0.25">
      <c r="A29" s="13"/>
      <c r="B29" s="36"/>
      <c r="C29" s="13"/>
      <c r="D29" s="13"/>
      <c r="E29" s="13"/>
      <c r="F29" s="13"/>
      <c r="G29" s="13"/>
    </row>
    <row r="30" spans="1:7" s="26" customFormat="1" ht="15" x14ac:dyDescent="0.25">
      <c r="A30" s="13"/>
      <c r="B30" s="35"/>
      <c r="C30" s="13"/>
      <c r="D30" s="13"/>
      <c r="E30" s="13"/>
      <c r="F30" s="13"/>
      <c r="G30" s="13"/>
    </row>
    <row r="31" spans="1:7" s="26" customFormat="1" ht="15" x14ac:dyDescent="0.25">
      <c r="A31" s="13"/>
      <c r="B31" s="35"/>
      <c r="C31" s="13"/>
      <c r="D31" s="13"/>
      <c r="E31" s="13"/>
      <c r="F31" s="13"/>
      <c r="G31" s="13"/>
    </row>
    <row r="32" spans="1:7" s="26" customFormat="1" ht="15" x14ac:dyDescent="0.25">
      <c r="A32" s="13"/>
      <c r="B32" s="39"/>
      <c r="C32" s="13"/>
      <c r="D32" s="13"/>
      <c r="E32" s="13"/>
      <c r="F32" s="13"/>
      <c r="G32" s="13"/>
    </row>
    <row r="33" spans="1:7" s="26" customFormat="1" ht="15" x14ac:dyDescent="0.25">
      <c r="A33" s="13"/>
      <c r="B33" s="40"/>
      <c r="C33" s="13"/>
      <c r="D33" s="13"/>
      <c r="E33" s="13"/>
      <c r="F33" s="13"/>
      <c r="G33" s="13"/>
    </row>
    <row r="34" spans="1:7" s="26" customFormat="1" ht="18" x14ac:dyDescent="0.25">
      <c r="A34" s="13"/>
      <c r="B34" s="37"/>
      <c r="C34" s="13"/>
      <c r="D34" s="13"/>
      <c r="E34" s="13"/>
      <c r="F34" s="13"/>
      <c r="G34" s="13"/>
    </row>
    <row r="35" spans="1:7" s="26" customFormat="1" ht="16.5" x14ac:dyDescent="0.25">
      <c r="A35" s="13"/>
      <c r="B35" s="38"/>
      <c r="C35" s="13"/>
      <c r="D35" s="13"/>
      <c r="E35" s="13"/>
      <c r="F35" s="13"/>
      <c r="G35" s="13"/>
    </row>
    <row r="36" spans="1:7" s="26" customFormat="1" ht="15" x14ac:dyDescent="0.25">
      <c r="A36" s="13"/>
      <c r="B36" s="35"/>
      <c r="C36" s="13"/>
      <c r="D36" s="13"/>
      <c r="E36" s="13"/>
      <c r="F36" s="13"/>
      <c r="G36" s="13"/>
    </row>
    <row r="37" spans="1:7" s="26" customFormat="1" ht="16.5" x14ac:dyDescent="0.25">
      <c r="A37" s="13"/>
      <c r="B37" s="38"/>
      <c r="C37" s="13"/>
      <c r="D37" s="13"/>
      <c r="E37" s="13"/>
      <c r="F37" s="13"/>
      <c r="G37" s="13"/>
    </row>
    <row r="38" spans="1:7" s="26" customFormat="1" ht="15" x14ac:dyDescent="0.25">
      <c r="A38" s="13"/>
      <c r="B38" s="35"/>
      <c r="C38" s="13"/>
      <c r="D38" s="13"/>
      <c r="E38" s="13"/>
      <c r="F38" s="13"/>
      <c r="G38" s="13"/>
    </row>
    <row r="39" spans="1:7" s="26" customFormat="1" ht="15" x14ac:dyDescent="0.25">
      <c r="A39" s="13"/>
      <c r="B39" s="36"/>
      <c r="C39" s="13"/>
      <c r="D39" s="13"/>
      <c r="E39" s="13"/>
      <c r="F39" s="13"/>
      <c r="G39" s="13"/>
    </row>
    <row r="40" spans="1:7" s="26" customFormat="1" ht="18" x14ac:dyDescent="0.25">
      <c r="A40" s="13"/>
      <c r="B40" s="37"/>
      <c r="C40" s="13"/>
      <c r="D40" s="13"/>
      <c r="E40" s="13"/>
      <c r="F40" s="13"/>
      <c r="G40" s="13"/>
    </row>
    <row r="41" spans="1:7" s="26" customFormat="1" ht="15" x14ac:dyDescent="0.25">
      <c r="A41" s="13"/>
      <c r="B41" s="36"/>
      <c r="C41" s="13"/>
      <c r="D41" s="13"/>
      <c r="E41" s="13"/>
      <c r="F41" s="13"/>
      <c r="G41" s="13"/>
    </row>
    <row r="42" spans="1:7" s="26" customFormat="1" ht="15" x14ac:dyDescent="0.25">
      <c r="A42" s="13"/>
      <c r="B42" s="35"/>
      <c r="C42" s="13"/>
      <c r="D42" s="13"/>
      <c r="E42" s="13"/>
      <c r="F42" s="13"/>
      <c r="G42" s="13"/>
    </row>
    <row r="43" spans="1:7" s="26" customFormat="1" ht="15" x14ac:dyDescent="0.25">
      <c r="A43" s="13"/>
      <c r="B43" s="39"/>
      <c r="C43" s="13"/>
      <c r="D43" s="13"/>
      <c r="E43" s="13"/>
      <c r="F43" s="13"/>
      <c r="G43" s="13"/>
    </row>
    <row r="44" spans="1:7" s="26" customFormat="1" ht="15" x14ac:dyDescent="0.25">
      <c r="A44" s="13"/>
      <c r="B44" s="41"/>
      <c r="C44" s="13"/>
      <c r="D44" s="13"/>
      <c r="E44" s="13"/>
      <c r="F44" s="13"/>
      <c r="G44" s="13"/>
    </row>
    <row r="45" spans="1:7" s="26" customFormat="1" ht="18" x14ac:dyDescent="0.25">
      <c r="A45" s="13"/>
      <c r="B45" s="42"/>
      <c r="C45" s="13"/>
      <c r="D45" s="13"/>
      <c r="E45" s="13"/>
      <c r="F45" s="13"/>
      <c r="G45" s="13"/>
    </row>
    <row r="46" spans="1:7" s="26" customFormat="1" ht="16.5" x14ac:dyDescent="0.25">
      <c r="A46" s="13"/>
      <c r="B46" s="43"/>
      <c r="C46" s="13"/>
      <c r="D46" s="13"/>
      <c r="E46" s="13"/>
      <c r="F46" s="13"/>
      <c r="G46" s="13"/>
    </row>
    <row r="47" spans="1:7" s="26" customFormat="1" ht="15" x14ac:dyDescent="0.25">
      <c r="A47" s="13"/>
      <c r="B47" s="44"/>
      <c r="C47" s="13"/>
      <c r="D47" s="13"/>
      <c r="E47" s="13"/>
      <c r="F47" s="13"/>
      <c r="G47" s="13"/>
    </row>
    <row r="48" spans="1:7" s="26" customFormat="1" ht="15" x14ac:dyDescent="0.25">
      <c r="A48" s="13"/>
      <c r="B48" s="35"/>
      <c r="C48" s="13"/>
      <c r="D48" s="13"/>
      <c r="E48" s="13"/>
      <c r="F48" s="13"/>
      <c r="G48" s="13"/>
    </row>
    <row r="49" spans="1:7" s="26" customFormat="1" ht="15" x14ac:dyDescent="0.25">
      <c r="A49" s="13"/>
      <c r="B49" s="35"/>
      <c r="C49" s="13"/>
      <c r="D49" s="13"/>
      <c r="E49" s="13"/>
      <c r="F49" s="13"/>
      <c r="G49" s="13"/>
    </row>
    <row r="50" spans="1:7" s="26" customFormat="1" ht="15" x14ac:dyDescent="0.25">
      <c r="A50" s="13"/>
      <c r="B50" s="35"/>
      <c r="C50" s="13"/>
      <c r="D50" s="13"/>
      <c r="E50" s="13"/>
      <c r="F50" s="13"/>
      <c r="G50" s="13"/>
    </row>
    <row r="51" spans="1:7" s="26" customFormat="1" ht="15" x14ac:dyDescent="0.25">
      <c r="A51" s="13"/>
      <c r="B51" s="35"/>
      <c r="C51" s="13"/>
      <c r="D51" s="13"/>
      <c r="E51" s="13"/>
      <c r="F51" s="13"/>
      <c r="G51" s="13"/>
    </row>
    <row r="52" spans="1:7" s="26" customFormat="1" ht="16.5" x14ac:dyDescent="0.25">
      <c r="A52" s="13"/>
      <c r="B52" s="43"/>
      <c r="C52" s="13"/>
      <c r="D52" s="13"/>
      <c r="E52" s="13"/>
      <c r="F52" s="13"/>
      <c r="G52" s="13"/>
    </row>
    <row r="53" spans="1:7" s="26" customFormat="1" ht="15" x14ac:dyDescent="0.25">
      <c r="A53" s="13"/>
      <c r="B53" s="35"/>
      <c r="C53" s="13"/>
      <c r="D53" s="13"/>
      <c r="E53" s="13"/>
      <c r="F53" s="13"/>
      <c r="G53" s="13"/>
    </row>
    <row r="54" spans="1:7" s="26" customFormat="1" ht="16.5" x14ac:dyDescent="0.25">
      <c r="A54" s="13"/>
      <c r="B54" s="43"/>
      <c r="C54" s="13"/>
      <c r="D54" s="13"/>
      <c r="E54" s="13"/>
      <c r="F54" s="13"/>
      <c r="G54" s="13"/>
    </row>
    <row r="55" spans="1:7" s="26" customFormat="1" ht="15" x14ac:dyDescent="0.25">
      <c r="A55" s="13"/>
      <c r="B55" s="35"/>
      <c r="C55" s="13"/>
      <c r="D55" s="13"/>
      <c r="E55" s="13"/>
      <c r="F55" s="13"/>
      <c r="G55" s="13"/>
    </row>
    <row r="56" spans="1:7" s="26" customFormat="1" ht="16.5" x14ac:dyDescent="0.25">
      <c r="A56" s="13"/>
      <c r="B56" s="43"/>
      <c r="C56" s="13"/>
      <c r="D56" s="13"/>
      <c r="E56" s="13"/>
      <c r="F56" s="13"/>
      <c r="G56" s="13"/>
    </row>
    <row r="57" spans="1:7" s="26" customFormat="1" ht="15" x14ac:dyDescent="0.25">
      <c r="A57" s="13"/>
      <c r="B57" s="35"/>
      <c r="C57" s="13"/>
      <c r="D57" s="13"/>
      <c r="E57" s="13"/>
      <c r="F57" s="13"/>
      <c r="G57" s="13"/>
    </row>
    <row r="58" spans="1:7" s="26" customFormat="1" ht="16.5" x14ac:dyDescent="0.25">
      <c r="A58" s="13"/>
      <c r="B58" s="43"/>
      <c r="C58" s="13"/>
      <c r="D58" s="13"/>
      <c r="E58" s="13"/>
      <c r="F58" s="13"/>
      <c r="G58" s="13"/>
    </row>
    <row r="59" spans="1:7" s="26" customFormat="1" ht="15" x14ac:dyDescent="0.25">
      <c r="A59" s="13"/>
      <c r="B59" s="35"/>
      <c r="C59" s="13"/>
      <c r="D59" s="13"/>
      <c r="E59" s="13"/>
      <c r="F59" s="13"/>
      <c r="G59" s="13"/>
    </row>
    <row r="60" spans="1:7" s="26" customFormat="1" ht="15" x14ac:dyDescent="0.25">
      <c r="A60" s="13"/>
      <c r="B60" s="36"/>
      <c r="C60" s="13"/>
      <c r="D60" s="13"/>
      <c r="E60" s="13"/>
      <c r="F60" s="13"/>
      <c r="G60" s="13"/>
    </row>
    <row r="61" spans="1:7" s="26" customFormat="1" ht="18" x14ac:dyDescent="0.25">
      <c r="A61" s="13"/>
      <c r="B61" s="42"/>
      <c r="C61" s="13"/>
      <c r="D61" s="13"/>
      <c r="E61" s="13"/>
      <c r="F61" s="13"/>
      <c r="G61" s="13"/>
    </row>
    <row r="62" spans="1:7" s="26" customFormat="1" ht="15" x14ac:dyDescent="0.25">
      <c r="A62" s="13"/>
      <c r="B62" s="36"/>
      <c r="C62" s="13"/>
      <c r="D62" s="13"/>
      <c r="E62" s="13"/>
      <c r="F62" s="13"/>
      <c r="G62" s="13"/>
    </row>
    <row r="63" spans="1:7" s="26" customFormat="1" ht="15" x14ac:dyDescent="0.25">
      <c r="A63" s="13"/>
      <c r="B63" s="35"/>
      <c r="C63" s="13"/>
      <c r="D63" s="13"/>
      <c r="E63" s="13"/>
      <c r="F63" s="13"/>
      <c r="G63" s="13"/>
    </row>
    <row r="64" spans="1:7" s="26" customFormat="1" ht="15" x14ac:dyDescent="0.25">
      <c r="A64" s="13"/>
      <c r="B64" s="39"/>
      <c r="C64" s="13"/>
      <c r="D64" s="13"/>
      <c r="E64" s="13"/>
      <c r="F64" s="13"/>
      <c r="G64" s="13"/>
    </row>
    <row r="65" spans="1:7" s="26" customFormat="1" ht="15" x14ac:dyDescent="0.25">
      <c r="A65" s="13"/>
      <c r="B65" s="44"/>
      <c r="C65" s="13"/>
      <c r="D65" s="13"/>
      <c r="E65" s="13"/>
      <c r="F65" s="13"/>
      <c r="G65" s="13"/>
    </row>
    <row r="66" spans="1:7" s="26" customFormat="1" ht="18" x14ac:dyDescent="0.25">
      <c r="A66" s="13"/>
      <c r="B66" s="45"/>
      <c r="C66" s="13"/>
      <c r="D66" s="13"/>
      <c r="E66" s="13"/>
      <c r="F66" s="13"/>
      <c r="G66" s="13"/>
    </row>
    <row r="67" spans="1:7" s="26" customFormat="1" ht="15" x14ac:dyDescent="0.25">
      <c r="A67" s="13"/>
      <c r="B67" s="36"/>
      <c r="C67" s="13"/>
      <c r="D67" s="13"/>
      <c r="E67" s="13"/>
      <c r="F67" s="13"/>
      <c r="G67" s="13"/>
    </row>
    <row r="68" spans="1:7" s="26" customFormat="1" ht="18" x14ac:dyDescent="0.25">
      <c r="A68" s="13"/>
      <c r="B68" s="45"/>
      <c r="C68" s="13"/>
      <c r="D68" s="13"/>
      <c r="E68" s="13"/>
      <c r="F68" s="13"/>
      <c r="G68" s="13"/>
    </row>
    <row r="69" spans="1:7" s="26" customFormat="1" ht="15" x14ac:dyDescent="0.25">
      <c r="A69" s="13"/>
      <c r="B69" s="36"/>
      <c r="C69" s="13"/>
      <c r="D69" s="13"/>
      <c r="E69" s="13"/>
      <c r="F69" s="13"/>
      <c r="G69" s="13"/>
    </row>
    <row r="70" spans="1:7" s="26" customFormat="1" ht="15" x14ac:dyDescent="0.25">
      <c r="A70" s="13"/>
      <c r="B70" s="44"/>
      <c r="C70" s="13"/>
      <c r="D70" s="13"/>
      <c r="E70" s="13"/>
      <c r="F70" s="13"/>
      <c r="G70" s="13"/>
    </row>
    <row r="71" spans="1:7" s="29" customFormat="1" ht="15" x14ac:dyDescent="0.25">
      <c r="A71" s="13"/>
      <c r="B71" s="39"/>
      <c r="C71" s="13"/>
      <c r="D71" s="13"/>
      <c r="E71" s="13"/>
      <c r="F71" s="13"/>
      <c r="G71" s="13"/>
    </row>
    <row r="72" spans="1:7" s="29" customFormat="1" ht="15" x14ac:dyDescent="0.25">
      <c r="A72" s="13"/>
      <c r="B72" s="39"/>
      <c r="C72" s="13"/>
      <c r="D72" s="13"/>
      <c r="E72" s="13"/>
      <c r="F72" s="13"/>
      <c r="G72" s="13"/>
    </row>
    <row r="73" spans="1:7" s="29" customFormat="1" ht="15" x14ac:dyDescent="0.25">
      <c r="A73" s="13"/>
      <c r="B73" s="39"/>
      <c r="C73" s="13"/>
      <c r="D73" s="13"/>
      <c r="E73" s="13"/>
      <c r="F73" s="13"/>
      <c r="G73" s="13"/>
    </row>
    <row r="74" spans="1:7" customFormat="1" ht="15" x14ac:dyDescent="0.25">
      <c r="A74" s="13"/>
      <c r="B74" s="28"/>
      <c r="C74" s="13"/>
      <c r="D74" s="13"/>
      <c r="E74" s="13"/>
      <c r="F74" s="13"/>
      <c r="G74" s="13"/>
    </row>
    <row r="75" spans="1:7" customFormat="1" ht="15" x14ac:dyDescent="0.25">
      <c r="A75" s="13"/>
      <c r="B75" s="28"/>
      <c r="C75" s="13"/>
      <c r="D75" s="13"/>
      <c r="E75" s="13"/>
      <c r="F75" s="13"/>
      <c r="G75" s="13"/>
    </row>
    <row r="76" spans="1:7" customFormat="1" ht="15" x14ac:dyDescent="0.25">
      <c r="A76" s="13"/>
      <c r="B76" s="28"/>
      <c r="C76" s="13"/>
      <c r="D76" s="13"/>
      <c r="E76" s="13"/>
      <c r="F76" s="13"/>
      <c r="G76" s="13"/>
    </row>
    <row r="77" spans="1:7" customFormat="1" ht="15" x14ac:dyDescent="0.25">
      <c r="A77" s="13"/>
      <c r="B77" s="28"/>
      <c r="C77" s="13"/>
      <c r="D77" s="13"/>
      <c r="E77" s="13"/>
      <c r="F77" s="13"/>
      <c r="G77" s="13"/>
    </row>
  </sheetData>
  <hyperlinks>
    <hyperlink ref="C4" r:id="rId1" xr:uid="{84831C18-C1F3-4109-950E-C22C41915BF9}"/>
    <hyperlink ref="C5" r:id="rId2" xr:uid="{B7B44917-3A28-4CCC-8978-7A843C817957}"/>
    <hyperlink ref="C7" r:id="rId3" xr:uid="{11424AA2-1BAF-4125-B0B4-324FDD38D8A4}"/>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8BF2-F9AA-4114-8D39-CBA2B12461D1}">
  <dimension ref="A1:C17"/>
  <sheetViews>
    <sheetView workbookViewId="0"/>
  </sheetViews>
  <sheetFormatPr defaultColWidth="12.28515625" defaultRowHeight="15" x14ac:dyDescent="0.2"/>
  <cols>
    <col min="1" max="1" width="40.7109375" style="47" customWidth="1"/>
    <col min="2" max="2" width="26.5703125" style="47" customWidth="1"/>
    <col min="3" max="3" width="71" style="47" customWidth="1"/>
    <col min="4" max="4" width="12.28515625" style="47" customWidth="1"/>
    <col min="5" max="16384" width="12.28515625" style="47"/>
  </cols>
  <sheetData>
    <row r="1" spans="1:3" ht="22.15" customHeight="1" x14ac:dyDescent="0.25">
      <c r="A1" s="46" t="s">
        <v>82</v>
      </c>
    </row>
    <row r="2" spans="1:3" ht="19.899999999999999" customHeight="1" x14ac:dyDescent="0.2">
      <c r="A2" s="47" t="s">
        <v>83</v>
      </c>
    </row>
    <row r="3" spans="1:3" ht="19.899999999999999" customHeight="1" x14ac:dyDescent="0.2">
      <c r="A3" s="47" t="s">
        <v>84</v>
      </c>
    </row>
    <row r="4" spans="1:3" ht="21" customHeight="1" x14ac:dyDescent="0.25">
      <c r="A4" s="48" t="s">
        <v>85</v>
      </c>
      <c r="B4" s="48" t="s">
        <v>86</v>
      </c>
      <c r="C4" s="48" t="s">
        <v>87</v>
      </c>
    </row>
    <row r="5" spans="1:3" x14ac:dyDescent="0.2">
      <c r="A5" s="47" t="s">
        <v>88</v>
      </c>
      <c r="B5" s="47" t="s">
        <v>89</v>
      </c>
      <c r="C5" s="47" t="s">
        <v>90</v>
      </c>
    </row>
    <row r="6" spans="1:3" x14ac:dyDescent="0.2">
      <c r="A6" s="47" t="s">
        <v>88</v>
      </c>
      <c r="B6" s="47" t="s">
        <v>91</v>
      </c>
      <c r="C6" s="47" t="s">
        <v>92</v>
      </c>
    </row>
    <row r="7" spans="1:3" x14ac:dyDescent="0.2">
      <c r="A7" s="47" t="s">
        <v>88</v>
      </c>
      <c r="B7" s="47" t="s">
        <v>93</v>
      </c>
      <c r="C7" s="47" t="s">
        <v>94</v>
      </c>
    </row>
    <row r="8" spans="1:3" x14ac:dyDescent="0.2">
      <c r="A8" s="47" t="s">
        <v>88</v>
      </c>
      <c r="B8" s="47" t="s">
        <v>95</v>
      </c>
      <c r="C8" s="47" t="s">
        <v>96</v>
      </c>
    </row>
    <row r="9" spans="1:3" x14ac:dyDescent="0.2">
      <c r="A9" s="47" t="s">
        <v>88</v>
      </c>
      <c r="B9" s="47" t="s">
        <v>97</v>
      </c>
      <c r="C9" s="47" t="s">
        <v>98</v>
      </c>
    </row>
    <row r="10" spans="1:3" x14ac:dyDescent="0.2">
      <c r="A10" s="47" t="s">
        <v>99</v>
      </c>
      <c r="B10" s="47" t="s">
        <v>100</v>
      </c>
      <c r="C10" s="47" t="s">
        <v>101</v>
      </c>
    </row>
    <row r="11" spans="1:3" x14ac:dyDescent="0.2">
      <c r="A11" s="47" t="s">
        <v>99</v>
      </c>
      <c r="B11" s="47" t="s">
        <v>102</v>
      </c>
      <c r="C11" s="47" t="s">
        <v>103</v>
      </c>
    </row>
    <row r="12" spans="1:3" x14ac:dyDescent="0.2">
      <c r="A12" s="47" t="s">
        <v>99</v>
      </c>
      <c r="B12" s="47" t="s">
        <v>104</v>
      </c>
      <c r="C12" s="47" t="s">
        <v>105</v>
      </c>
    </row>
    <row r="13" spans="1:3" x14ac:dyDescent="0.2">
      <c r="A13" s="47" t="s">
        <v>99</v>
      </c>
      <c r="B13" s="47" t="s">
        <v>106</v>
      </c>
      <c r="C13" s="47" t="s">
        <v>107</v>
      </c>
    </row>
    <row r="14" spans="1:3" x14ac:dyDescent="0.2">
      <c r="A14" s="47" t="s">
        <v>99</v>
      </c>
      <c r="B14" s="47" t="s">
        <v>108</v>
      </c>
      <c r="C14" s="47" t="s">
        <v>109</v>
      </c>
    </row>
    <row r="15" spans="1:3" x14ac:dyDescent="0.2">
      <c r="A15" s="47" t="s">
        <v>99</v>
      </c>
      <c r="B15" s="47" t="s">
        <v>110</v>
      </c>
      <c r="C15" s="47" t="s">
        <v>111</v>
      </c>
    </row>
    <row r="16" spans="1:3" x14ac:dyDescent="0.2">
      <c r="A16" s="47" t="s">
        <v>99</v>
      </c>
      <c r="B16" s="47" t="s">
        <v>112</v>
      </c>
      <c r="C16" s="47" t="s">
        <v>113</v>
      </c>
    </row>
    <row r="17" spans="1:3" x14ac:dyDescent="0.2">
      <c r="A17" s="49" t="s">
        <v>99</v>
      </c>
      <c r="B17" s="49" t="s">
        <v>114</v>
      </c>
      <c r="C17" s="49" t="s">
        <v>115</v>
      </c>
    </row>
  </sheetData>
  <pageMargins left="0.70000000000000007" right="0.70000000000000007" top="0.75" bottom="0.75" header="0.30000000000000004" footer="0.30000000000000004"/>
  <pageSetup paperSize="0" scale="59"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5038-D952-4A8D-994D-5EC293836349}">
  <dimension ref="A1:Q42"/>
  <sheetViews>
    <sheetView tabSelected="1" topLeftCell="A25" workbookViewId="0">
      <selection activeCell="A37" sqref="A37:O42"/>
    </sheetView>
  </sheetViews>
  <sheetFormatPr defaultColWidth="12.28515625" defaultRowHeight="15" x14ac:dyDescent="0.25"/>
  <cols>
    <col min="1" max="1" width="37.7109375" style="50" customWidth="1"/>
    <col min="2" max="16" width="13.5703125" style="50" customWidth="1"/>
    <col min="17" max="17" width="12.28515625" style="50" customWidth="1"/>
    <col min="18" max="16384" width="12.28515625" style="50"/>
  </cols>
  <sheetData>
    <row r="1" spans="1:17" s="51" customFormat="1" ht="22.15" customHeight="1" x14ac:dyDescent="0.25">
      <c r="A1" s="46" t="s">
        <v>116</v>
      </c>
      <c r="B1" s="50"/>
      <c r="C1" s="50"/>
      <c r="D1" s="50"/>
      <c r="E1" s="50"/>
      <c r="F1" s="50"/>
      <c r="G1" s="50"/>
      <c r="H1" s="50"/>
      <c r="I1" s="50"/>
      <c r="J1" s="50"/>
      <c r="K1" s="50"/>
      <c r="L1" s="50"/>
      <c r="M1" s="50"/>
      <c r="N1" s="50"/>
    </row>
    <row r="2" spans="1:17" s="51" customFormat="1" ht="22.15" customHeight="1" x14ac:dyDescent="0.25">
      <c r="A2" s="46" t="s">
        <v>117</v>
      </c>
      <c r="B2" s="50"/>
      <c r="C2" s="50"/>
      <c r="D2" s="50"/>
      <c r="E2" s="50"/>
      <c r="F2" s="50"/>
      <c r="G2" s="50"/>
      <c r="H2" s="50"/>
      <c r="I2" s="50"/>
      <c r="J2" s="50"/>
      <c r="K2" s="50"/>
      <c r="L2" s="50"/>
      <c r="M2" s="50"/>
      <c r="N2" s="50"/>
    </row>
    <row r="3" spans="1:17" s="51" customFormat="1" ht="19.899999999999999" customHeight="1" x14ac:dyDescent="0.2">
      <c r="A3" s="52" t="s">
        <v>118</v>
      </c>
      <c r="B3" s="52"/>
      <c r="C3" s="52"/>
      <c r="D3" s="52"/>
      <c r="E3" s="52"/>
      <c r="F3" s="52"/>
      <c r="G3" s="52"/>
      <c r="H3" s="52"/>
      <c r="I3" s="52"/>
      <c r="J3" s="52"/>
      <c r="K3" s="52"/>
      <c r="L3" s="52"/>
      <c r="M3" s="52"/>
      <c r="N3" s="52"/>
    </row>
    <row r="4" spans="1:17" s="51" customFormat="1" ht="19.899999999999999" customHeight="1" x14ac:dyDescent="0.2">
      <c r="A4" s="52" t="s">
        <v>119</v>
      </c>
      <c r="B4" s="52"/>
      <c r="C4" s="52"/>
      <c r="D4" s="53"/>
      <c r="E4" s="52"/>
      <c r="F4" s="52"/>
      <c r="G4" s="52"/>
      <c r="H4" s="52"/>
      <c r="I4" s="52"/>
      <c r="J4" s="52"/>
      <c r="K4" s="52"/>
      <c r="L4" s="52"/>
      <c r="M4" s="52"/>
      <c r="N4" s="52"/>
    </row>
    <row r="5" spans="1:17" s="52" customFormat="1" ht="19.899999999999999" customHeight="1" x14ac:dyDescent="0.2">
      <c r="A5" s="52" t="s">
        <v>120</v>
      </c>
    </row>
    <row r="6" spans="1:17" ht="19.899999999999999" customHeight="1" x14ac:dyDescent="0.25">
      <c r="A6" s="54" t="s">
        <v>121</v>
      </c>
    </row>
    <row r="7" spans="1:17" s="57" customFormat="1" ht="58.5" customHeight="1" x14ac:dyDescent="0.25">
      <c r="A7" s="55" t="s">
        <v>122</v>
      </c>
      <c r="B7" s="56" t="s">
        <v>123</v>
      </c>
      <c r="C7" s="56" t="s">
        <v>124</v>
      </c>
      <c r="D7" s="56" t="s">
        <v>125</v>
      </c>
      <c r="E7" s="56" t="s">
        <v>126</v>
      </c>
      <c r="F7" s="56" t="s">
        <v>127</v>
      </c>
      <c r="G7" s="56" t="s">
        <v>128</v>
      </c>
      <c r="H7" s="56" t="s">
        <v>129</v>
      </c>
      <c r="I7" s="56" t="s">
        <v>130</v>
      </c>
      <c r="J7" s="56" t="s">
        <v>131</v>
      </c>
      <c r="K7" s="56" t="s">
        <v>132</v>
      </c>
      <c r="L7" s="56" t="s">
        <v>133</v>
      </c>
      <c r="M7" s="56" t="s">
        <v>134</v>
      </c>
      <c r="N7" s="56" t="s">
        <v>135</v>
      </c>
      <c r="O7" s="56" t="s">
        <v>136</v>
      </c>
      <c r="P7" s="56" t="s">
        <v>137</v>
      </c>
    </row>
    <row r="8" spans="1:17" s="52" customFormat="1" x14ac:dyDescent="0.2">
      <c r="A8" s="52" t="s">
        <v>138</v>
      </c>
      <c r="B8" s="58">
        <v>27961</v>
      </c>
      <c r="C8" s="58">
        <v>26462</v>
      </c>
      <c r="D8" s="58">
        <v>27826</v>
      </c>
      <c r="E8" s="58">
        <v>31322</v>
      </c>
      <c r="F8" s="58">
        <v>36121</v>
      </c>
      <c r="G8" s="58">
        <v>46762</v>
      </c>
      <c r="H8" s="58">
        <v>55793</v>
      </c>
      <c r="I8" s="58">
        <v>62992</v>
      </c>
      <c r="J8" s="59" t="s">
        <v>139</v>
      </c>
      <c r="K8" s="58">
        <v>71995</v>
      </c>
      <c r="L8" s="58">
        <v>87905</v>
      </c>
      <c r="M8" s="58">
        <v>84039</v>
      </c>
      <c r="N8" s="58">
        <v>77901</v>
      </c>
      <c r="O8" s="58">
        <v>82490</v>
      </c>
      <c r="P8" s="60">
        <v>5.890810130807056</v>
      </c>
      <c r="Q8" s="61"/>
    </row>
    <row r="9" spans="1:17" s="52" customFormat="1" x14ac:dyDescent="0.2">
      <c r="A9" s="52" t="s">
        <v>140</v>
      </c>
      <c r="B9" s="58">
        <v>1011</v>
      </c>
      <c r="C9" s="58">
        <v>941</v>
      </c>
      <c r="D9" s="58">
        <v>1349</v>
      </c>
      <c r="E9" s="58">
        <v>1922</v>
      </c>
      <c r="F9" s="58">
        <v>2637</v>
      </c>
      <c r="G9" s="58">
        <v>3833</v>
      </c>
      <c r="H9" s="58">
        <v>5833</v>
      </c>
      <c r="I9" s="58">
        <v>6344</v>
      </c>
      <c r="J9" s="59" t="s">
        <v>139</v>
      </c>
      <c r="K9" s="58">
        <v>4527</v>
      </c>
      <c r="L9" s="58">
        <v>6510</v>
      </c>
      <c r="M9" s="58">
        <v>6513</v>
      </c>
      <c r="N9" s="58">
        <v>6973</v>
      </c>
      <c r="O9" s="58">
        <v>7164</v>
      </c>
      <c r="P9" s="60">
        <v>2.7391366700129094</v>
      </c>
      <c r="Q9" s="61"/>
    </row>
    <row r="10" spans="1:17" s="52" customFormat="1" x14ac:dyDescent="0.2">
      <c r="A10" s="52" t="s">
        <v>141</v>
      </c>
      <c r="B10" s="58">
        <v>3111</v>
      </c>
      <c r="C10" s="58">
        <v>3109</v>
      </c>
      <c r="D10" s="58">
        <v>3375</v>
      </c>
      <c r="E10" s="58">
        <v>4042</v>
      </c>
      <c r="F10" s="58">
        <v>5350</v>
      </c>
      <c r="G10" s="58">
        <v>7111</v>
      </c>
      <c r="H10" s="58">
        <v>9491</v>
      </c>
      <c r="I10" s="58">
        <v>12080</v>
      </c>
      <c r="J10" s="59" t="s">
        <v>139</v>
      </c>
      <c r="K10" s="58">
        <v>15668</v>
      </c>
      <c r="L10" s="58">
        <v>22317</v>
      </c>
      <c r="M10" s="58">
        <v>21306</v>
      </c>
      <c r="N10" s="58">
        <v>19127</v>
      </c>
      <c r="O10" s="58">
        <v>18702</v>
      </c>
      <c r="P10" s="60">
        <v>-2.2219898572698238</v>
      </c>
      <c r="Q10" s="61"/>
    </row>
    <row r="11" spans="1:17" s="52" customFormat="1" x14ac:dyDescent="0.2">
      <c r="A11" s="52" t="s">
        <v>142</v>
      </c>
      <c r="B11" s="58">
        <v>1628</v>
      </c>
      <c r="C11" s="58">
        <v>1803</v>
      </c>
      <c r="D11" s="58">
        <v>1896</v>
      </c>
      <c r="E11" s="58">
        <v>2337</v>
      </c>
      <c r="F11" s="58">
        <v>3272</v>
      </c>
      <c r="G11" s="58">
        <v>4892</v>
      </c>
      <c r="H11" s="58">
        <v>6759</v>
      </c>
      <c r="I11" s="58">
        <v>7837</v>
      </c>
      <c r="J11" s="59" t="s">
        <v>139</v>
      </c>
      <c r="K11" s="58">
        <v>9418</v>
      </c>
      <c r="L11" s="58">
        <v>13611</v>
      </c>
      <c r="M11" s="58">
        <v>13637</v>
      </c>
      <c r="N11" s="58">
        <v>11131</v>
      </c>
      <c r="O11" s="58">
        <v>10224</v>
      </c>
      <c r="P11" s="60">
        <v>-8.148414338334387</v>
      </c>
      <c r="Q11" s="61"/>
    </row>
    <row r="12" spans="1:17" s="52" customFormat="1" x14ac:dyDescent="0.2">
      <c r="A12" s="52" t="s">
        <v>143</v>
      </c>
      <c r="B12" s="58">
        <v>239</v>
      </c>
      <c r="C12" s="58">
        <v>314</v>
      </c>
      <c r="D12" s="58">
        <v>480</v>
      </c>
      <c r="E12" s="58">
        <v>500</v>
      </c>
      <c r="F12" s="58">
        <v>706</v>
      </c>
      <c r="G12" s="58">
        <v>1046</v>
      </c>
      <c r="H12" s="58">
        <v>1523</v>
      </c>
      <c r="I12" s="58">
        <v>2089</v>
      </c>
      <c r="J12" s="59" t="s">
        <v>139</v>
      </c>
      <c r="K12" s="58">
        <v>2510</v>
      </c>
      <c r="L12" s="58">
        <v>3920</v>
      </c>
      <c r="M12" s="58">
        <v>4477</v>
      </c>
      <c r="N12" s="58">
        <v>4258</v>
      </c>
      <c r="O12" s="58">
        <v>3809</v>
      </c>
      <c r="P12" s="60">
        <v>-10.544856740253639</v>
      </c>
      <c r="Q12" s="61"/>
    </row>
    <row r="13" spans="1:17" s="52" customFormat="1" ht="33" customHeight="1" x14ac:dyDescent="0.2">
      <c r="A13" s="52" t="s">
        <v>144</v>
      </c>
      <c r="B13" s="59">
        <v>33950</v>
      </c>
      <c r="C13" s="59">
        <v>32629</v>
      </c>
      <c r="D13" s="59">
        <v>34926</v>
      </c>
      <c r="E13" s="59">
        <v>40123</v>
      </c>
      <c r="F13" s="59">
        <v>48086</v>
      </c>
      <c r="G13" s="59">
        <v>63644</v>
      </c>
      <c r="H13" s="59">
        <v>79399</v>
      </c>
      <c r="I13" s="59">
        <v>91342</v>
      </c>
      <c r="J13" s="59" t="s">
        <v>139</v>
      </c>
      <c r="K13" s="59">
        <v>104118</v>
      </c>
      <c r="L13" s="59">
        <v>134263</v>
      </c>
      <c r="M13" s="59">
        <v>129972</v>
      </c>
      <c r="N13" s="59">
        <v>119390</v>
      </c>
      <c r="O13" s="59">
        <v>122389</v>
      </c>
      <c r="P13" s="60">
        <v>2.5119356730044284</v>
      </c>
      <c r="Q13" s="61"/>
    </row>
    <row r="14" spans="1:17" ht="33" customHeight="1" x14ac:dyDescent="0.25">
      <c r="A14" s="62" t="s">
        <v>145</v>
      </c>
      <c r="B14" s="63" t="s">
        <v>139</v>
      </c>
      <c r="C14" s="64">
        <v>31884</v>
      </c>
      <c r="D14" s="64">
        <v>33829</v>
      </c>
      <c r="E14" s="64">
        <v>38576</v>
      </c>
      <c r="F14" s="64">
        <v>46071</v>
      </c>
      <c r="G14" s="64">
        <v>60650</v>
      </c>
      <c r="H14" s="64">
        <v>74674</v>
      </c>
      <c r="I14" s="64">
        <v>86593</v>
      </c>
      <c r="J14" s="64" t="s">
        <v>139</v>
      </c>
      <c r="K14" s="64">
        <v>99813</v>
      </c>
      <c r="L14" s="64">
        <v>128485</v>
      </c>
      <c r="M14" s="64">
        <v>123033</v>
      </c>
      <c r="N14" s="64">
        <v>113166</v>
      </c>
      <c r="O14" s="64">
        <v>115990</v>
      </c>
      <c r="P14" s="65">
        <v>2.495449163176211</v>
      </c>
      <c r="Q14" s="61"/>
    </row>
    <row r="15" spans="1:17" ht="33" customHeight="1" x14ac:dyDescent="0.25">
      <c r="A15" s="66"/>
      <c r="B15" s="67"/>
      <c r="C15" s="68"/>
      <c r="D15" s="68"/>
      <c r="E15" s="68"/>
      <c r="F15" s="68"/>
      <c r="G15" s="68"/>
      <c r="H15" s="68"/>
      <c r="I15" s="68"/>
      <c r="J15" s="68"/>
      <c r="K15" s="68"/>
      <c r="L15" s="68"/>
      <c r="M15" s="68"/>
      <c r="N15" s="68"/>
      <c r="O15" s="68"/>
      <c r="P15" s="69"/>
    </row>
    <row r="16" spans="1:17" ht="15.75" x14ac:dyDescent="0.25">
      <c r="A16" s="70" t="s">
        <v>146</v>
      </c>
    </row>
    <row r="17" spans="1:16" s="57" customFormat="1" ht="29.1" customHeight="1" x14ac:dyDescent="0.25">
      <c r="A17" s="55" t="s">
        <v>122</v>
      </c>
      <c r="B17" s="56" t="s">
        <v>136</v>
      </c>
    </row>
    <row r="18" spans="1:16" s="52" customFormat="1" x14ac:dyDescent="0.2">
      <c r="A18" s="52" t="s">
        <v>138</v>
      </c>
      <c r="B18" s="58">
        <v>98887</v>
      </c>
    </row>
    <row r="19" spans="1:16" s="52" customFormat="1" x14ac:dyDescent="0.2">
      <c r="A19" s="52" t="s">
        <v>140</v>
      </c>
      <c r="B19" s="58">
        <v>10065</v>
      </c>
    </row>
    <row r="20" spans="1:16" s="52" customFormat="1" x14ac:dyDescent="0.2">
      <c r="A20" s="52" t="s">
        <v>141</v>
      </c>
      <c r="B20" s="58">
        <v>21523</v>
      </c>
    </row>
    <row r="21" spans="1:16" s="52" customFormat="1" x14ac:dyDescent="0.2">
      <c r="A21" s="52" t="s">
        <v>142</v>
      </c>
      <c r="B21" s="58">
        <v>10649</v>
      </c>
    </row>
    <row r="22" spans="1:16" s="52" customFormat="1" x14ac:dyDescent="0.2">
      <c r="A22" s="52" t="s">
        <v>143</v>
      </c>
      <c r="B22" s="58">
        <v>4120</v>
      </c>
    </row>
    <row r="23" spans="1:16" s="52" customFormat="1" ht="33" customHeight="1" x14ac:dyDescent="0.2">
      <c r="A23" s="52" t="s">
        <v>144</v>
      </c>
      <c r="B23" s="59">
        <v>145244</v>
      </c>
    </row>
    <row r="24" spans="1:16" ht="33" customHeight="1" x14ac:dyDescent="0.25">
      <c r="A24" s="62" t="s">
        <v>145</v>
      </c>
      <c r="B24" s="64">
        <v>137550</v>
      </c>
    </row>
    <row r="25" spans="1:16" ht="33" customHeight="1" x14ac:dyDescent="0.25">
      <c r="A25" s="66"/>
      <c r="B25" s="67"/>
      <c r="C25" s="68"/>
      <c r="D25" s="68"/>
      <c r="E25" s="68"/>
      <c r="F25" s="68"/>
      <c r="G25" s="68"/>
      <c r="H25" s="68"/>
      <c r="I25" s="68"/>
      <c r="J25" s="68"/>
      <c r="K25" s="68"/>
      <c r="L25" s="68"/>
      <c r="M25" s="68"/>
      <c r="N25" s="68"/>
      <c r="O25" s="68"/>
      <c r="P25" s="69"/>
    </row>
    <row r="26" spans="1:16" ht="15.75" x14ac:dyDescent="0.25">
      <c r="A26" s="71" t="s">
        <v>147</v>
      </c>
    </row>
    <row r="27" spans="1:16" s="57" customFormat="1" ht="36.6" customHeight="1" x14ac:dyDescent="0.25">
      <c r="A27" s="55" t="s">
        <v>122</v>
      </c>
      <c r="B27" s="56" t="s">
        <v>123</v>
      </c>
      <c r="C27" s="56" t="s">
        <v>124</v>
      </c>
      <c r="D27" s="56" t="s">
        <v>125</v>
      </c>
      <c r="E27" s="56" t="s">
        <v>126</v>
      </c>
      <c r="F27" s="56" t="s">
        <v>127</v>
      </c>
      <c r="G27" s="56" t="s">
        <v>128</v>
      </c>
      <c r="H27" s="56" t="s">
        <v>129</v>
      </c>
      <c r="I27" s="56" t="s">
        <v>130</v>
      </c>
      <c r="J27" s="56" t="s">
        <v>148</v>
      </c>
      <c r="K27" s="56" t="s">
        <v>132</v>
      </c>
      <c r="L27" s="56" t="s">
        <v>133</v>
      </c>
      <c r="M27" s="56" t="s">
        <v>134</v>
      </c>
      <c r="N27" s="72" t="s">
        <v>135</v>
      </c>
      <c r="O27" s="56" t="s">
        <v>149</v>
      </c>
    </row>
    <row r="28" spans="1:16" s="52" customFormat="1" x14ac:dyDescent="0.2">
      <c r="A28" s="52" t="s">
        <v>138</v>
      </c>
      <c r="B28" s="58">
        <v>7983</v>
      </c>
      <c r="C28" s="58">
        <v>9383</v>
      </c>
      <c r="D28" s="58">
        <v>9749</v>
      </c>
      <c r="E28" s="58">
        <v>11540</v>
      </c>
      <c r="F28" s="58">
        <v>13298</v>
      </c>
      <c r="G28" s="58">
        <v>15923</v>
      </c>
      <c r="H28" s="58">
        <v>15471</v>
      </c>
      <c r="I28" s="58">
        <v>15914</v>
      </c>
      <c r="J28" s="58">
        <v>17465</v>
      </c>
      <c r="K28" s="58">
        <v>20068</v>
      </c>
      <c r="L28" s="58">
        <v>21938</v>
      </c>
      <c r="M28" s="58">
        <v>19586</v>
      </c>
      <c r="N28" s="73">
        <v>20944</v>
      </c>
      <c r="O28" s="58">
        <v>16397</v>
      </c>
    </row>
    <row r="29" spans="1:16" s="52" customFormat="1" x14ac:dyDescent="0.2">
      <c r="A29" s="52" t="s">
        <v>140</v>
      </c>
      <c r="B29" s="58">
        <v>607</v>
      </c>
      <c r="C29" s="58">
        <v>631</v>
      </c>
      <c r="D29" s="58">
        <v>915</v>
      </c>
      <c r="E29" s="58">
        <v>1371</v>
      </c>
      <c r="F29" s="58">
        <v>1763</v>
      </c>
      <c r="G29" s="58">
        <v>2116</v>
      </c>
      <c r="H29" s="58">
        <v>2506</v>
      </c>
      <c r="I29" s="58">
        <v>2215</v>
      </c>
      <c r="J29" s="58">
        <v>2174</v>
      </c>
      <c r="K29" s="58">
        <v>1856</v>
      </c>
      <c r="L29" s="58">
        <v>2311</v>
      </c>
      <c r="M29" s="58">
        <v>1989</v>
      </c>
      <c r="N29" s="73">
        <v>4041</v>
      </c>
      <c r="O29" s="58">
        <v>2901</v>
      </c>
    </row>
    <row r="30" spans="1:16" s="52" customFormat="1" x14ac:dyDescent="0.2">
      <c r="A30" s="52" t="s">
        <v>141</v>
      </c>
      <c r="B30" s="58">
        <v>1234</v>
      </c>
      <c r="C30" s="58">
        <v>1132</v>
      </c>
      <c r="D30" s="58">
        <v>1213</v>
      </c>
      <c r="E30" s="58">
        <v>1549</v>
      </c>
      <c r="F30" s="58">
        <v>1844</v>
      </c>
      <c r="G30" s="58">
        <v>2046</v>
      </c>
      <c r="H30" s="58">
        <v>2101</v>
      </c>
      <c r="I30" s="58">
        <v>2392</v>
      </c>
      <c r="J30" s="58">
        <v>3035</v>
      </c>
      <c r="K30" s="58">
        <v>2928</v>
      </c>
      <c r="L30" s="58">
        <v>3835</v>
      </c>
      <c r="M30" s="58">
        <v>3471</v>
      </c>
      <c r="N30" s="73">
        <v>3711</v>
      </c>
      <c r="O30" s="58">
        <v>2821</v>
      </c>
    </row>
    <row r="31" spans="1:16" s="52" customFormat="1" x14ac:dyDescent="0.2">
      <c r="A31" s="52" t="s">
        <v>142</v>
      </c>
      <c r="B31" s="58">
        <v>120</v>
      </c>
      <c r="C31" s="58">
        <v>108</v>
      </c>
      <c r="D31" s="58">
        <v>124</v>
      </c>
      <c r="E31" s="58">
        <v>178</v>
      </c>
      <c r="F31" s="58">
        <v>357</v>
      </c>
      <c r="G31" s="58">
        <v>666</v>
      </c>
      <c r="H31" s="58">
        <v>462</v>
      </c>
      <c r="I31" s="58">
        <v>413</v>
      </c>
      <c r="J31" s="58">
        <v>487</v>
      </c>
      <c r="K31" s="58">
        <v>527</v>
      </c>
      <c r="L31" s="58">
        <v>631</v>
      </c>
      <c r="M31" s="58">
        <v>648</v>
      </c>
      <c r="N31" s="73">
        <v>589</v>
      </c>
      <c r="O31" s="58">
        <v>425</v>
      </c>
    </row>
    <row r="32" spans="1:16" s="52" customFormat="1" x14ac:dyDescent="0.2">
      <c r="A32" s="52" t="s">
        <v>143</v>
      </c>
      <c r="B32" s="58">
        <v>74</v>
      </c>
      <c r="C32" s="58">
        <v>50</v>
      </c>
      <c r="D32" s="58">
        <v>79</v>
      </c>
      <c r="E32" s="58">
        <v>107</v>
      </c>
      <c r="F32" s="58">
        <v>152</v>
      </c>
      <c r="G32" s="58">
        <v>202</v>
      </c>
      <c r="H32" s="58">
        <v>180</v>
      </c>
      <c r="I32" s="58">
        <v>240</v>
      </c>
      <c r="J32" s="58">
        <v>292</v>
      </c>
      <c r="K32" s="58">
        <v>289</v>
      </c>
      <c r="L32" s="58">
        <v>435</v>
      </c>
      <c r="M32" s="58">
        <v>412</v>
      </c>
      <c r="N32" s="73">
        <v>520</v>
      </c>
      <c r="O32" s="58">
        <v>311</v>
      </c>
    </row>
    <row r="33" spans="1:15" s="52" customFormat="1" ht="33" customHeight="1" x14ac:dyDescent="0.2">
      <c r="A33" s="52" t="s">
        <v>144</v>
      </c>
      <c r="B33" s="59">
        <v>10018</v>
      </c>
      <c r="C33" s="59">
        <v>11304</v>
      </c>
      <c r="D33" s="59">
        <v>12080</v>
      </c>
      <c r="E33" s="59">
        <v>14745</v>
      </c>
      <c r="F33" s="59">
        <v>17414</v>
      </c>
      <c r="G33" s="59">
        <v>20953</v>
      </c>
      <c r="H33" s="59">
        <v>20720</v>
      </c>
      <c r="I33" s="59">
        <v>21174</v>
      </c>
      <c r="J33" s="59">
        <v>23453</v>
      </c>
      <c r="K33" s="59">
        <v>25668</v>
      </c>
      <c r="L33" s="59">
        <v>29150</v>
      </c>
      <c r="M33" s="59">
        <v>26106</v>
      </c>
      <c r="N33" s="74">
        <v>29805</v>
      </c>
      <c r="O33" s="59">
        <v>22855</v>
      </c>
    </row>
    <row r="34" spans="1:15" ht="33" customHeight="1" x14ac:dyDescent="0.25">
      <c r="A34" s="62" t="s">
        <v>145</v>
      </c>
      <c r="B34" s="63" t="s">
        <v>139</v>
      </c>
      <c r="C34" s="64">
        <v>10371</v>
      </c>
      <c r="D34" s="64">
        <v>10748</v>
      </c>
      <c r="E34" s="64">
        <v>13889</v>
      </c>
      <c r="F34" s="64">
        <v>16447</v>
      </c>
      <c r="G34" s="64">
        <v>19813</v>
      </c>
      <c r="H34" s="64">
        <v>19441</v>
      </c>
      <c r="I34" s="64">
        <v>19865</v>
      </c>
      <c r="J34" s="64">
        <v>22111</v>
      </c>
      <c r="K34" s="64">
        <v>24291</v>
      </c>
      <c r="L34" s="64">
        <v>27356</v>
      </c>
      <c r="M34" s="64">
        <v>24612</v>
      </c>
      <c r="N34" s="75">
        <v>27454</v>
      </c>
      <c r="O34" s="64">
        <v>21560</v>
      </c>
    </row>
    <row r="35" spans="1:15" ht="33" customHeight="1" x14ac:dyDescent="0.25"/>
    <row r="36" spans="1:15" ht="15.75" x14ac:dyDescent="0.25">
      <c r="A36" s="71" t="s">
        <v>329</v>
      </c>
    </row>
    <row r="37" spans="1:15" x14ac:dyDescent="0.25">
      <c r="A37" t="s">
        <v>122</v>
      </c>
      <c r="B37" t="s">
        <v>123</v>
      </c>
      <c r="C37" t="s">
        <v>124</v>
      </c>
      <c r="D37" t="s">
        <v>125</v>
      </c>
      <c r="E37" t="s">
        <v>126</v>
      </c>
      <c r="F37" t="s">
        <v>127</v>
      </c>
      <c r="G37" t="s">
        <v>128</v>
      </c>
      <c r="H37" t="s">
        <v>129</v>
      </c>
      <c r="I37" t="s">
        <v>130</v>
      </c>
      <c r="J37" t="s">
        <v>148</v>
      </c>
      <c r="K37" t="s">
        <v>132</v>
      </c>
      <c r="L37" t="s">
        <v>133</v>
      </c>
      <c r="M37" t="s">
        <v>134</v>
      </c>
      <c r="N37" t="s">
        <v>135</v>
      </c>
      <c r="O37" t="s">
        <v>136</v>
      </c>
    </row>
    <row r="38" spans="1:15" x14ac:dyDescent="0.25">
      <c r="A38" t="s">
        <v>138</v>
      </c>
      <c r="B38">
        <f>B8+B28</f>
        <v>35944</v>
      </c>
      <c r="C38">
        <f t="shared" ref="C38:N38" si="0">C8+C28</f>
        <v>35845</v>
      </c>
      <c r="D38">
        <f t="shared" si="0"/>
        <v>37575</v>
      </c>
      <c r="E38">
        <f t="shared" si="0"/>
        <v>42862</v>
      </c>
      <c r="F38">
        <f t="shared" si="0"/>
        <v>49419</v>
      </c>
      <c r="G38">
        <f t="shared" si="0"/>
        <v>62685</v>
      </c>
      <c r="H38">
        <f t="shared" si="0"/>
        <v>71264</v>
      </c>
      <c r="I38">
        <f t="shared" si="0"/>
        <v>78906</v>
      </c>
      <c r="J38" t="s">
        <v>330</v>
      </c>
      <c r="K38">
        <f t="shared" si="0"/>
        <v>92063</v>
      </c>
      <c r="L38">
        <f t="shared" si="0"/>
        <v>109843</v>
      </c>
      <c r="M38">
        <f t="shared" si="0"/>
        <v>103625</v>
      </c>
      <c r="N38">
        <f t="shared" si="0"/>
        <v>98845</v>
      </c>
      <c r="O38">
        <f t="shared" ref="O38" si="1">O8+O28</f>
        <v>98887</v>
      </c>
    </row>
    <row r="39" spans="1:15" x14ac:dyDescent="0.25">
      <c r="A39" t="s">
        <v>140</v>
      </c>
      <c r="B39">
        <f t="shared" ref="B39:N42" si="2">B9+B29</f>
        <v>1618</v>
      </c>
      <c r="C39">
        <f t="shared" si="2"/>
        <v>1572</v>
      </c>
      <c r="D39">
        <f t="shared" si="2"/>
        <v>2264</v>
      </c>
      <c r="E39">
        <f t="shared" si="2"/>
        <v>3293</v>
      </c>
      <c r="F39">
        <f t="shared" si="2"/>
        <v>4400</v>
      </c>
      <c r="G39">
        <f t="shared" si="2"/>
        <v>5949</v>
      </c>
      <c r="H39">
        <f t="shared" si="2"/>
        <v>8339</v>
      </c>
      <c r="I39">
        <f t="shared" si="2"/>
        <v>8559</v>
      </c>
      <c r="J39" t="s">
        <v>330</v>
      </c>
      <c r="K39">
        <f t="shared" si="2"/>
        <v>6383</v>
      </c>
      <c r="L39">
        <f t="shared" si="2"/>
        <v>8821</v>
      </c>
      <c r="M39">
        <f t="shared" si="2"/>
        <v>8502</v>
      </c>
      <c r="N39">
        <f t="shared" si="2"/>
        <v>11014</v>
      </c>
      <c r="O39">
        <f t="shared" ref="O39" si="3">O9+O29</f>
        <v>10065</v>
      </c>
    </row>
    <row r="40" spans="1:15" x14ac:dyDescent="0.25">
      <c r="A40" t="s">
        <v>141</v>
      </c>
      <c r="B40">
        <f t="shared" si="2"/>
        <v>4345</v>
      </c>
      <c r="C40">
        <f t="shared" si="2"/>
        <v>4241</v>
      </c>
      <c r="D40">
        <f t="shared" si="2"/>
        <v>4588</v>
      </c>
      <c r="E40">
        <f t="shared" si="2"/>
        <v>5591</v>
      </c>
      <c r="F40">
        <f t="shared" si="2"/>
        <v>7194</v>
      </c>
      <c r="G40">
        <f t="shared" si="2"/>
        <v>9157</v>
      </c>
      <c r="H40">
        <f t="shared" si="2"/>
        <v>11592</v>
      </c>
      <c r="I40">
        <f t="shared" si="2"/>
        <v>14472</v>
      </c>
      <c r="J40" t="s">
        <v>330</v>
      </c>
      <c r="K40">
        <f t="shared" si="2"/>
        <v>18596</v>
      </c>
      <c r="L40">
        <f t="shared" si="2"/>
        <v>26152</v>
      </c>
      <c r="M40">
        <f t="shared" si="2"/>
        <v>24777</v>
      </c>
      <c r="N40">
        <f t="shared" si="2"/>
        <v>22838</v>
      </c>
      <c r="O40">
        <f t="shared" ref="O40" si="4">O10+O30</f>
        <v>21523</v>
      </c>
    </row>
    <row r="41" spans="1:15" x14ac:dyDescent="0.25">
      <c r="A41" t="s">
        <v>142</v>
      </c>
      <c r="B41">
        <f t="shared" si="2"/>
        <v>1748</v>
      </c>
      <c r="C41">
        <f t="shared" si="2"/>
        <v>1911</v>
      </c>
      <c r="D41">
        <f t="shared" si="2"/>
        <v>2020</v>
      </c>
      <c r="E41">
        <f t="shared" si="2"/>
        <v>2515</v>
      </c>
      <c r="F41">
        <f t="shared" si="2"/>
        <v>3629</v>
      </c>
      <c r="G41">
        <f t="shared" si="2"/>
        <v>5558</v>
      </c>
      <c r="H41">
        <f t="shared" si="2"/>
        <v>7221</v>
      </c>
      <c r="I41">
        <f t="shared" si="2"/>
        <v>8250</v>
      </c>
      <c r="J41" t="s">
        <v>330</v>
      </c>
      <c r="K41">
        <f t="shared" si="2"/>
        <v>9945</v>
      </c>
      <c r="L41">
        <f t="shared" si="2"/>
        <v>14242</v>
      </c>
      <c r="M41">
        <f t="shared" si="2"/>
        <v>14285</v>
      </c>
      <c r="N41">
        <f t="shared" si="2"/>
        <v>11720</v>
      </c>
      <c r="O41">
        <f t="shared" ref="O41" si="5">O11+O31</f>
        <v>10649</v>
      </c>
    </row>
    <row r="42" spans="1:15" x14ac:dyDescent="0.25">
      <c r="A42" t="s">
        <v>143</v>
      </c>
      <c r="B42">
        <f t="shared" si="2"/>
        <v>313</v>
      </c>
      <c r="C42">
        <f t="shared" si="2"/>
        <v>364</v>
      </c>
      <c r="D42">
        <f t="shared" si="2"/>
        <v>559</v>
      </c>
      <c r="E42">
        <f t="shared" si="2"/>
        <v>607</v>
      </c>
      <c r="F42">
        <f t="shared" si="2"/>
        <v>858</v>
      </c>
      <c r="G42">
        <f t="shared" si="2"/>
        <v>1248</v>
      </c>
      <c r="H42">
        <f t="shared" si="2"/>
        <v>1703</v>
      </c>
      <c r="I42">
        <f t="shared" si="2"/>
        <v>2329</v>
      </c>
      <c r="J42" t="s">
        <v>330</v>
      </c>
      <c r="K42">
        <f t="shared" si="2"/>
        <v>2799</v>
      </c>
      <c r="L42">
        <f t="shared" si="2"/>
        <v>4355</v>
      </c>
      <c r="M42">
        <f t="shared" si="2"/>
        <v>4889</v>
      </c>
      <c r="N42">
        <f t="shared" si="2"/>
        <v>4778</v>
      </c>
      <c r="O42">
        <f t="shared" ref="O42" si="6">O12+O32</f>
        <v>4120</v>
      </c>
    </row>
  </sheetData>
  <pageMargins left="0.70000000000000007" right="0.70000000000000007" top="0.75" bottom="0.75" header="0.30000000000000004" footer="0.30000000000000004"/>
  <pageSetup paperSize="0" scale="39" fitToWidth="0" fitToHeight="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02B22-4A0E-4B9C-B914-3D5D3427AB89}">
  <dimension ref="A1:N51"/>
  <sheetViews>
    <sheetView workbookViewId="0"/>
  </sheetViews>
  <sheetFormatPr defaultColWidth="19" defaultRowHeight="15" x14ac:dyDescent="0.25"/>
  <cols>
    <col min="1" max="1" width="19.5703125" style="50" customWidth="1"/>
    <col min="2" max="2" width="28" style="50" customWidth="1"/>
    <col min="3" max="3" width="22.7109375" style="50" customWidth="1"/>
    <col min="4" max="4" width="19" style="50" customWidth="1"/>
    <col min="5" max="16384" width="19" style="50"/>
  </cols>
  <sheetData>
    <row r="1" spans="1:14" s="76" customFormat="1" ht="22.15" customHeight="1" x14ac:dyDescent="0.25">
      <c r="A1" s="46" t="s">
        <v>150</v>
      </c>
      <c r="B1" s="50"/>
      <c r="C1" s="50"/>
      <c r="D1" s="50"/>
      <c r="E1" s="50"/>
      <c r="F1" s="50"/>
      <c r="G1" s="50"/>
      <c r="H1" s="50"/>
      <c r="I1" s="50"/>
      <c r="J1" s="50"/>
      <c r="K1" s="50"/>
      <c r="L1" s="50"/>
    </row>
    <row r="2" spans="1:14" s="76" customFormat="1" ht="22.15" customHeight="1" x14ac:dyDescent="0.25">
      <c r="A2" s="46" t="s">
        <v>151</v>
      </c>
      <c r="B2" s="50"/>
      <c r="C2" s="50"/>
      <c r="D2" s="50"/>
      <c r="E2" s="50"/>
      <c r="F2" s="50"/>
      <c r="G2" s="50"/>
      <c r="H2" s="50"/>
      <c r="I2" s="50"/>
      <c r="J2" s="50"/>
      <c r="K2" s="50"/>
      <c r="L2" s="50"/>
      <c r="M2" s="50"/>
      <c r="N2" s="50"/>
    </row>
    <row r="3" spans="1:14" s="76" customFormat="1" ht="19.899999999999999" customHeight="1" x14ac:dyDescent="0.2">
      <c r="A3" s="52" t="s">
        <v>152</v>
      </c>
      <c r="B3" s="52"/>
      <c r="C3" s="52"/>
      <c r="D3" s="52"/>
      <c r="E3" s="52"/>
      <c r="F3" s="52"/>
      <c r="G3" s="52"/>
      <c r="H3" s="52"/>
      <c r="I3" s="52"/>
      <c r="J3" s="52"/>
      <c r="K3" s="52"/>
      <c r="L3" s="52"/>
    </row>
    <row r="4" spans="1:14" s="76" customFormat="1" ht="19.899999999999999" customHeight="1" x14ac:dyDescent="0.2">
      <c r="A4" s="52" t="s">
        <v>120</v>
      </c>
      <c r="B4" s="52"/>
      <c r="C4" s="52"/>
      <c r="D4" s="52"/>
      <c r="E4" s="52"/>
      <c r="F4" s="52"/>
      <c r="G4" s="52"/>
      <c r="H4" s="52"/>
      <c r="I4" s="52"/>
      <c r="J4" s="52"/>
      <c r="K4" s="52"/>
      <c r="L4" s="52"/>
    </row>
    <row r="5" spans="1:14" ht="21" customHeight="1" x14ac:dyDescent="0.25">
      <c r="A5" s="55" t="s">
        <v>153</v>
      </c>
      <c r="B5" s="56" t="s">
        <v>154</v>
      </c>
      <c r="C5" s="56" t="s">
        <v>155</v>
      </c>
      <c r="E5" s="77"/>
      <c r="F5" s="78"/>
      <c r="G5" s="78"/>
    </row>
    <row r="6" spans="1:14" s="52" customFormat="1" x14ac:dyDescent="0.2">
      <c r="A6" s="79">
        <v>45383</v>
      </c>
      <c r="B6" s="61">
        <v>189</v>
      </c>
      <c r="C6" s="61">
        <v>278</v>
      </c>
      <c r="E6" s="79"/>
      <c r="F6" s="61"/>
      <c r="G6" s="61"/>
    </row>
    <row r="7" spans="1:14" s="52" customFormat="1" x14ac:dyDescent="0.2">
      <c r="A7" s="79">
        <v>45413</v>
      </c>
      <c r="B7" s="61">
        <v>267</v>
      </c>
      <c r="C7" s="61">
        <v>267</v>
      </c>
      <c r="E7" s="79"/>
      <c r="F7" s="61"/>
      <c r="G7" s="61"/>
    </row>
    <row r="8" spans="1:14" s="52" customFormat="1" x14ac:dyDescent="0.2">
      <c r="A8" s="79">
        <v>45444</v>
      </c>
      <c r="B8" s="61">
        <v>242</v>
      </c>
      <c r="C8" s="61">
        <v>298</v>
      </c>
      <c r="E8" s="79"/>
      <c r="F8" s="61"/>
      <c r="G8" s="61"/>
    </row>
    <row r="9" spans="1:14" s="52" customFormat="1" x14ac:dyDescent="0.2">
      <c r="A9" s="79">
        <v>45474</v>
      </c>
      <c r="B9" s="61">
        <v>198</v>
      </c>
      <c r="C9" s="61">
        <v>280</v>
      </c>
      <c r="E9" s="79"/>
      <c r="F9" s="61"/>
      <c r="G9" s="61"/>
    </row>
    <row r="10" spans="1:14" s="52" customFormat="1" x14ac:dyDescent="0.2">
      <c r="A10" s="79">
        <v>45505</v>
      </c>
      <c r="B10" s="61">
        <v>174</v>
      </c>
      <c r="C10" s="61">
        <v>624</v>
      </c>
      <c r="E10" s="79"/>
      <c r="F10" s="61"/>
      <c r="G10" s="61"/>
    </row>
    <row r="11" spans="1:14" s="52" customFormat="1" x14ac:dyDescent="0.2">
      <c r="A11" s="79">
        <v>45536</v>
      </c>
      <c r="B11" s="61">
        <v>207</v>
      </c>
      <c r="C11" s="61">
        <v>274</v>
      </c>
      <c r="E11" s="79"/>
      <c r="F11" s="61"/>
      <c r="G11" s="61"/>
    </row>
    <row r="12" spans="1:14" s="52" customFormat="1" x14ac:dyDescent="0.2">
      <c r="A12" s="79">
        <v>45566</v>
      </c>
      <c r="B12" s="61">
        <v>209</v>
      </c>
      <c r="C12" s="80">
        <v>261</v>
      </c>
      <c r="E12" s="79"/>
      <c r="F12" s="61"/>
      <c r="G12" s="61"/>
    </row>
    <row r="13" spans="1:14" s="52" customFormat="1" x14ac:dyDescent="0.2">
      <c r="A13" s="79">
        <v>45597</v>
      </c>
      <c r="B13" s="61">
        <v>216</v>
      </c>
      <c r="C13" s="61">
        <v>212</v>
      </c>
      <c r="E13" s="79"/>
      <c r="F13" s="61"/>
      <c r="G13" s="61"/>
    </row>
    <row r="14" spans="1:14" s="52" customFormat="1" x14ac:dyDescent="0.2">
      <c r="A14" s="79">
        <v>45627</v>
      </c>
      <c r="B14" s="61">
        <v>135</v>
      </c>
      <c r="C14" s="61">
        <v>207</v>
      </c>
      <c r="E14" s="79"/>
      <c r="F14" s="61"/>
      <c r="G14" s="61"/>
    </row>
    <row r="15" spans="1:14" s="52" customFormat="1" x14ac:dyDescent="0.2">
      <c r="A15" s="79">
        <v>45658</v>
      </c>
      <c r="B15" s="61">
        <v>169</v>
      </c>
      <c r="C15" s="61">
        <v>192</v>
      </c>
      <c r="E15" s="79"/>
      <c r="F15" s="61"/>
      <c r="G15" s="61"/>
    </row>
    <row r="16" spans="1:14" s="52" customFormat="1" x14ac:dyDescent="0.2">
      <c r="A16" s="79">
        <v>45689</v>
      </c>
      <c r="B16" s="61">
        <v>132</v>
      </c>
      <c r="C16" s="61">
        <v>177</v>
      </c>
      <c r="E16" s="79"/>
      <c r="F16" s="61"/>
      <c r="G16" s="61"/>
    </row>
    <row r="17" spans="1:7" s="52" customFormat="1" x14ac:dyDescent="0.2">
      <c r="A17" s="81">
        <v>45717</v>
      </c>
      <c r="B17" s="82">
        <v>188</v>
      </c>
      <c r="C17" s="82">
        <v>315</v>
      </c>
      <c r="E17" s="79"/>
      <c r="F17" s="61"/>
      <c r="G17" s="61"/>
    </row>
    <row r="51" spans="1:12" s="76" customFormat="1" ht="15.75" x14ac:dyDescent="0.25">
      <c r="A51" s="50"/>
      <c r="B51" s="50"/>
      <c r="C51" s="50"/>
      <c r="D51" s="50"/>
      <c r="E51" s="50"/>
      <c r="F51" s="50"/>
      <c r="G51" s="50"/>
      <c r="H51" s="50"/>
      <c r="I51" s="50"/>
      <c r="J51" s="50"/>
      <c r="K51" s="50"/>
      <c r="L51" s="50"/>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FE9A-2840-4CE1-B6AB-3B4F562A951C}">
  <dimension ref="A1:N64"/>
  <sheetViews>
    <sheetView workbookViewId="0"/>
  </sheetViews>
  <sheetFormatPr defaultColWidth="19" defaultRowHeight="15" x14ac:dyDescent="0.25"/>
  <cols>
    <col min="1" max="1" width="37" style="50" customWidth="1"/>
    <col min="2" max="2" width="20.85546875" style="50" customWidth="1"/>
    <col min="3" max="3" width="24.28515625" style="50" customWidth="1"/>
    <col min="4" max="4" width="19" style="50" customWidth="1"/>
    <col min="5" max="16384" width="19" style="50"/>
  </cols>
  <sheetData>
    <row r="1" spans="1:14" s="83" customFormat="1" ht="22.15" customHeight="1" x14ac:dyDescent="0.25">
      <c r="A1" s="46" t="s">
        <v>156</v>
      </c>
      <c r="B1" s="50"/>
      <c r="C1" s="50"/>
      <c r="D1" s="50"/>
      <c r="E1" s="50"/>
      <c r="F1" s="50"/>
      <c r="G1" s="50"/>
      <c r="H1" s="50"/>
      <c r="I1" s="50"/>
      <c r="J1" s="50"/>
      <c r="K1" s="50"/>
      <c r="L1" s="50"/>
    </row>
    <row r="2" spans="1:14" s="83" customFormat="1" ht="22.15" customHeight="1" x14ac:dyDescent="0.25">
      <c r="A2" s="46" t="s">
        <v>157</v>
      </c>
      <c r="B2" s="50"/>
      <c r="C2" s="50"/>
      <c r="D2" s="50"/>
      <c r="E2" s="50"/>
      <c r="F2" s="50"/>
      <c r="G2" s="50"/>
      <c r="H2" s="50"/>
      <c r="I2" s="50"/>
      <c r="J2" s="50"/>
      <c r="K2" s="50"/>
      <c r="L2" s="50"/>
      <c r="M2" s="50"/>
      <c r="N2" s="50"/>
    </row>
    <row r="3" spans="1:14" s="83" customFormat="1" ht="19.899999999999999" customHeight="1" x14ac:dyDescent="0.2">
      <c r="A3" s="52" t="s">
        <v>152</v>
      </c>
      <c r="B3" s="52"/>
      <c r="C3" s="52"/>
      <c r="D3" s="52"/>
      <c r="E3" s="52"/>
      <c r="F3" s="52"/>
      <c r="G3" s="52"/>
      <c r="H3" s="52"/>
      <c r="I3" s="52"/>
      <c r="J3" s="52"/>
      <c r="K3" s="52"/>
      <c r="L3" s="52"/>
    </row>
    <row r="4" spans="1:14" s="83" customFormat="1" ht="19.899999999999999" customHeight="1" x14ac:dyDescent="0.2">
      <c r="A4" s="52" t="s">
        <v>120</v>
      </c>
      <c r="B4" s="52"/>
      <c r="C4" s="52"/>
      <c r="D4" s="52"/>
      <c r="E4" s="52"/>
      <c r="F4" s="52"/>
      <c r="G4" s="52"/>
      <c r="H4" s="52"/>
      <c r="I4" s="52"/>
      <c r="J4" s="52"/>
      <c r="K4" s="52"/>
      <c r="L4" s="52"/>
    </row>
    <row r="5" spans="1:14" s="85" customFormat="1" ht="26.25" customHeight="1" x14ac:dyDescent="0.25">
      <c r="A5" s="55" t="s">
        <v>85</v>
      </c>
      <c r="B5" s="56" t="s">
        <v>158</v>
      </c>
      <c r="C5" s="56" t="s">
        <v>159</v>
      </c>
      <c r="D5" s="84"/>
      <c r="E5" s="84"/>
      <c r="F5" s="84"/>
      <c r="G5" s="84"/>
      <c r="H5" s="84"/>
      <c r="I5" s="84"/>
      <c r="J5" s="84"/>
      <c r="K5" s="84"/>
      <c r="L5" s="84"/>
    </row>
    <row r="6" spans="1:14" s="52" customFormat="1" x14ac:dyDescent="0.2">
      <c r="A6" s="86" t="s">
        <v>107</v>
      </c>
      <c r="B6" s="61">
        <v>50.261051166028544</v>
      </c>
      <c r="C6" s="61">
        <v>49.732023224653865</v>
      </c>
      <c r="L6" s="61"/>
    </row>
    <row r="7" spans="1:14" s="52" customFormat="1" x14ac:dyDescent="0.2">
      <c r="A7" s="86" t="s">
        <v>160</v>
      </c>
      <c r="B7" s="61">
        <v>17.09014966933519</v>
      </c>
      <c r="C7" s="61">
        <v>7.3916927199642695</v>
      </c>
      <c r="L7" s="61"/>
    </row>
    <row r="8" spans="1:14" s="52" customFormat="1" x14ac:dyDescent="0.2">
      <c r="A8" s="86" t="s">
        <v>161</v>
      </c>
      <c r="B8" s="61">
        <v>11.79951270449008</v>
      </c>
      <c r="C8" s="61">
        <v>8.8432335864225102</v>
      </c>
      <c r="L8" s="61"/>
    </row>
    <row r="9" spans="1:14" s="52" customFormat="1" x14ac:dyDescent="0.2">
      <c r="A9" s="86" t="s">
        <v>162</v>
      </c>
      <c r="B9" s="61">
        <v>9.9199443090845811</v>
      </c>
      <c r="C9" s="61">
        <v>18.155426529700758</v>
      </c>
      <c r="L9" s="61"/>
    </row>
    <row r="10" spans="1:14" s="52" customFormat="1" x14ac:dyDescent="0.2">
      <c r="A10" s="86" t="s">
        <v>163</v>
      </c>
      <c r="B10" s="61">
        <v>7.4138531152105811</v>
      </c>
      <c r="C10" s="61">
        <v>11.813309513175525</v>
      </c>
      <c r="L10" s="61"/>
    </row>
    <row r="11" spans="1:14" s="52" customFormat="1" x14ac:dyDescent="0.2">
      <c r="A11" s="86" t="s">
        <v>164</v>
      </c>
      <c r="B11" s="61">
        <v>3.5154890358510267</v>
      </c>
      <c r="C11" s="61">
        <v>4.0643144260830724</v>
      </c>
      <c r="L11" s="61"/>
    </row>
    <row r="12" spans="1:14" s="52" customFormat="1" ht="15.75" x14ac:dyDescent="0.25">
      <c r="A12" s="87" t="s">
        <v>165</v>
      </c>
      <c r="B12" s="87">
        <v>100.00000000000001</v>
      </c>
      <c r="C12" s="87">
        <v>100</v>
      </c>
    </row>
    <row r="62" spans="1:14" s="83" customFormat="1" ht="15.75" x14ac:dyDescent="0.25">
      <c r="A62" s="50"/>
      <c r="B62" s="50"/>
      <c r="C62" s="50"/>
      <c r="D62" s="50"/>
      <c r="E62" s="50"/>
      <c r="F62" s="50"/>
      <c r="G62" s="50"/>
      <c r="H62" s="50"/>
      <c r="I62" s="50"/>
      <c r="J62" s="50"/>
      <c r="K62" s="50"/>
      <c r="L62" s="50"/>
    </row>
    <row r="63" spans="1:14" s="88" customFormat="1" ht="15.75" x14ac:dyDescent="0.25">
      <c r="A63" s="50"/>
      <c r="B63" s="50"/>
      <c r="C63" s="50"/>
      <c r="D63" s="50"/>
      <c r="E63" s="50"/>
      <c r="F63" s="50"/>
      <c r="G63" s="50"/>
      <c r="H63" s="50"/>
      <c r="I63" s="50"/>
      <c r="J63" s="50"/>
      <c r="K63" s="50"/>
      <c r="L63" s="50"/>
      <c r="M63" s="50"/>
      <c r="N63" s="50"/>
    </row>
    <row r="64" spans="1:14" s="88" customFormat="1" ht="15.75" x14ac:dyDescent="0.25">
      <c r="A64" s="50"/>
      <c r="B64" s="50"/>
      <c r="C64" s="50"/>
      <c r="D64" s="50"/>
      <c r="E64" s="50"/>
      <c r="F64" s="50"/>
      <c r="G64" s="50"/>
      <c r="H64" s="50"/>
      <c r="I64" s="50"/>
      <c r="J64" s="50"/>
      <c r="K64" s="50"/>
      <c r="L64" s="50"/>
      <c r="M64" s="50"/>
      <c r="N64" s="50"/>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7754-729F-4993-B20C-2CF0231A769C}">
  <dimension ref="A1:Q37"/>
  <sheetViews>
    <sheetView workbookViewId="0"/>
  </sheetViews>
  <sheetFormatPr defaultColWidth="19" defaultRowHeight="15" x14ac:dyDescent="0.25"/>
  <cols>
    <col min="1" max="1" width="86" style="50" customWidth="1"/>
    <col min="2" max="5" width="19.28515625" style="50" customWidth="1"/>
    <col min="6" max="6" width="21.28515625" style="50" customWidth="1"/>
    <col min="7" max="7" width="18.7109375" style="50" customWidth="1"/>
    <col min="8" max="8" width="19" style="50" customWidth="1"/>
    <col min="9" max="16384" width="19" style="50"/>
  </cols>
  <sheetData>
    <row r="1" spans="1:17" s="89" customFormat="1" ht="22.15" customHeight="1" x14ac:dyDescent="0.25">
      <c r="A1" s="46" t="s">
        <v>166</v>
      </c>
      <c r="B1" s="50"/>
      <c r="C1" s="50"/>
      <c r="D1" s="50"/>
      <c r="E1" s="50"/>
      <c r="F1" s="50"/>
      <c r="G1" s="50"/>
      <c r="H1" s="50"/>
      <c r="I1" s="50"/>
      <c r="J1" s="50"/>
      <c r="K1" s="50"/>
      <c r="L1" s="50"/>
      <c r="M1" s="50"/>
      <c r="N1" s="50"/>
      <c r="O1" s="50"/>
    </row>
    <row r="2" spans="1:17" s="89" customFormat="1" ht="22.15" customHeight="1" x14ac:dyDescent="0.25">
      <c r="A2" s="46" t="s">
        <v>167</v>
      </c>
      <c r="B2" s="50"/>
      <c r="C2" s="50"/>
      <c r="D2" s="50"/>
      <c r="E2" s="50"/>
      <c r="F2" s="50"/>
      <c r="G2" s="50"/>
      <c r="H2" s="50"/>
      <c r="I2" s="50"/>
      <c r="J2" s="50"/>
      <c r="K2" s="50"/>
      <c r="L2" s="50"/>
      <c r="M2" s="50"/>
      <c r="N2" s="50"/>
      <c r="O2" s="50"/>
      <c r="P2" s="50"/>
      <c r="Q2" s="50"/>
    </row>
    <row r="3" spans="1:17" s="89" customFormat="1" ht="19.899999999999999" customHeight="1" x14ac:dyDescent="0.2">
      <c r="A3" s="52" t="s">
        <v>168</v>
      </c>
      <c r="B3" s="52"/>
      <c r="C3" s="52"/>
      <c r="D3" s="52"/>
      <c r="E3" s="52"/>
      <c r="F3" s="52"/>
      <c r="G3" s="52"/>
      <c r="H3" s="52"/>
      <c r="I3" s="52"/>
      <c r="J3" s="52"/>
      <c r="K3" s="52"/>
      <c r="L3" s="52"/>
      <c r="M3" s="52"/>
      <c r="N3" s="52"/>
      <c r="O3" s="52"/>
    </row>
    <row r="4" spans="1:17" s="89" customFormat="1" ht="19.899999999999999" customHeight="1" x14ac:dyDescent="0.2">
      <c r="A4" s="90" t="s">
        <v>169</v>
      </c>
      <c r="B4" s="52"/>
      <c r="C4" s="52"/>
      <c r="D4" s="52"/>
      <c r="E4" s="52"/>
      <c r="F4" s="52"/>
      <c r="G4" s="52"/>
      <c r="H4" s="52"/>
      <c r="I4" s="52"/>
      <c r="J4" s="52"/>
      <c r="K4" s="52"/>
      <c r="L4" s="52"/>
      <c r="M4" s="52"/>
    </row>
    <row r="5" spans="1:17" s="89" customFormat="1" ht="19.899999999999999" customHeight="1" x14ac:dyDescent="0.2">
      <c r="A5" s="52" t="s">
        <v>120</v>
      </c>
      <c r="B5" s="52"/>
      <c r="C5" s="52"/>
      <c r="D5" s="52"/>
      <c r="E5" s="52"/>
      <c r="F5" s="52"/>
      <c r="G5" s="52"/>
      <c r="H5" s="52"/>
      <c r="I5" s="52"/>
      <c r="J5" s="52"/>
      <c r="K5" s="52"/>
      <c r="L5" s="52"/>
      <c r="M5" s="52"/>
    </row>
    <row r="6" spans="1:17" s="52" customFormat="1" ht="19.899999999999999" customHeight="1" x14ac:dyDescent="0.25">
      <c r="A6" s="89" t="s">
        <v>170</v>
      </c>
      <c r="G6" s="50"/>
    </row>
    <row r="7" spans="1:17" ht="19.899999999999999" customHeight="1" x14ac:dyDescent="0.25">
      <c r="A7" s="54" t="s">
        <v>171</v>
      </c>
    </row>
    <row r="8" spans="1:17" s="57" customFormat="1" ht="47.25" x14ac:dyDescent="0.25">
      <c r="A8" s="55" t="s">
        <v>172</v>
      </c>
      <c r="B8" s="56" t="s">
        <v>133</v>
      </c>
      <c r="C8" s="56" t="s">
        <v>134</v>
      </c>
      <c r="D8" s="56" t="s">
        <v>135</v>
      </c>
      <c r="E8" s="56" t="s">
        <v>136</v>
      </c>
      <c r="F8" s="56" t="s">
        <v>137</v>
      </c>
      <c r="G8" s="50"/>
      <c r="H8" s="84"/>
      <c r="I8" s="84"/>
      <c r="J8" s="84"/>
      <c r="K8" s="84"/>
      <c r="L8" s="84"/>
      <c r="M8" s="84"/>
      <c r="N8" s="84"/>
    </row>
    <row r="9" spans="1:17" ht="15.75" x14ac:dyDescent="0.25">
      <c r="A9" s="52" t="s">
        <v>173</v>
      </c>
      <c r="B9" s="91">
        <v>36</v>
      </c>
      <c r="C9" s="91">
        <v>16</v>
      </c>
      <c r="D9" s="92">
        <v>18</v>
      </c>
      <c r="E9" s="92">
        <v>23</v>
      </c>
      <c r="F9" s="93" t="s">
        <v>139</v>
      </c>
      <c r="N9" s="78"/>
    </row>
    <row r="10" spans="1:17" ht="15.75" x14ac:dyDescent="0.25">
      <c r="A10" s="52" t="s">
        <v>174</v>
      </c>
      <c r="B10" s="91">
        <v>512</v>
      </c>
      <c r="C10" s="91">
        <v>500</v>
      </c>
      <c r="D10" s="92">
        <v>431</v>
      </c>
      <c r="E10" s="92">
        <v>401</v>
      </c>
      <c r="F10" s="94">
        <v>-6.9605568445475638</v>
      </c>
      <c r="N10" s="78"/>
    </row>
    <row r="11" spans="1:17" ht="15.75" x14ac:dyDescent="0.25">
      <c r="A11" s="52" t="s">
        <v>175</v>
      </c>
      <c r="B11" s="91">
        <v>90</v>
      </c>
      <c r="C11" s="91">
        <v>218</v>
      </c>
      <c r="D11" s="92">
        <v>107</v>
      </c>
      <c r="E11" s="92">
        <v>118</v>
      </c>
      <c r="F11" s="94">
        <v>10.2803738317757</v>
      </c>
      <c r="N11" s="78"/>
    </row>
    <row r="12" spans="1:17" ht="15.75" x14ac:dyDescent="0.25">
      <c r="A12" s="52" t="s">
        <v>176</v>
      </c>
      <c r="B12" s="91">
        <v>1375</v>
      </c>
      <c r="C12" s="91">
        <v>1172</v>
      </c>
      <c r="D12" s="92">
        <v>2093</v>
      </c>
      <c r="E12" s="92">
        <v>1715</v>
      </c>
      <c r="F12" s="94">
        <v>-18.060200668896321</v>
      </c>
      <c r="N12" s="78"/>
    </row>
    <row r="13" spans="1:17" ht="15.75" x14ac:dyDescent="0.25">
      <c r="A13" s="52" t="s">
        <v>155</v>
      </c>
      <c r="B13" s="91">
        <v>2688</v>
      </c>
      <c r="C13" s="91">
        <v>2661</v>
      </c>
      <c r="D13" s="92">
        <v>2690</v>
      </c>
      <c r="E13" s="92">
        <v>3199</v>
      </c>
      <c r="F13" s="94">
        <v>18.921933085501859</v>
      </c>
      <c r="N13" s="78"/>
    </row>
    <row r="14" spans="1:17" ht="15.75" x14ac:dyDescent="0.25">
      <c r="A14" s="52" t="s">
        <v>177</v>
      </c>
      <c r="B14" s="91">
        <v>242</v>
      </c>
      <c r="C14" s="91">
        <v>241</v>
      </c>
      <c r="D14" s="92">
        <v>159</v>
      </c>
      <c r="E14" s="92">
        <v>202</v>
      </c>
      <c r="F14" s="94">
        <v>27.044025157232703</v>
      </c>
      <c r="N14" s="78"/>
    </row>
    <row r="15" spans="1:17" ht="15.75" x14ac:dyDescent="0.25">
      <c r="A15" s="52" t="s">
        <v>164</v>
      </c>
      <c r="B15" s="91">
        <v>374</v>
      </c>
      <c r="C15" s="91">
        <v>438</v>
      </c>
      <c r="D15" s="92">
        <v>459</v>
      </c>
      <c r="E15" s="92">
        <v>480</v>
      </c>
      <c r="F15" s="94">
        <v>4.5751633986928102</v>
      </c>
    </row>
    <row r="16" spans="1:17" ht="15.75" x14ac:dyDescent="0.25">
      <c r="A16" s="52" t="s">
        <v>178</v>
      </c>
      <c r="B16" s="91">
        <v>169</v>
      </c>
      <c r="C16" s="91">
        <v>138</v>
      </c>
      <c r="D16" s="92">
        <v>123</v>
      </c>
      <c r="E16" s="92">
        <v>137</v>
      </c>
      <c r="F16" s="94">
        <v>11.38211382113821</v>
      </c>
    </row>
    <row r="17" spans="1:6" ht="15.75" x14ac:dyDescent="0.25">
      <c r="A17" s="52" t="s">
        <v>179</v>
      </c>
      <c r="B17" s="91">
        <v>1079</v>
      </c>
      <c r="C17" s="91">
        <v>1235</v>
      </c>
      <c r="D17" s="92">
        <v>925</v>
      </c>
      <c r="E17" s="92">
        <v>919</v>
      </c>
      <c r="F17" s="94">
        <v>-0.64864864864864857</v>
      </c>
    </row>
    <row r="18" spans="1:6" ht="27" customHeight="1" x14ac:dyDescent="0.25">
      <c r="A18" s="52" t="s">
        <v>180</v>
      </c>
      <c r="B18" s="91">
        <v>6565</v>
      </c>
      <c r="C18" s="91">
        <v>6619</v>
      </c>
      <c r="D18" s="91">
        <v>7005</v>
      </c>
      <c r="E18" s="91">
        <v>7194</v>
      </c>
      <c r="F18" s="94"/>
    </row>
    <row r="19" spans="1:6" ht="27" customHeight="1" x14ac:dyDescent="0.25">
      <c r="A19" s="66" t="s">
        <v>181</v>
      </c>
      <c r="B19" s="91">
        <v>6358</v>
      </c>
      <c r="C19" s="91">
        <v>6212</v>
      </c>
      <c r="D19" s="91">
        <v>6839</v>
      </c>
      <c r="E19" s="91">
        <v>6964</v>
      </c>
      <c r="F19" s="94"/>
    </row>
    <row r="20" spans="1:6" ht="28.35" customHeight="1" x14ac:dyDescent="0.25">
      <c r="A20" s="52" t="s">
        <v>182</v>
      </c>
      <c r="B20" s="91">
        <v>152</v>
      </c>
      <c r="C20" s="91">
        <v>301</v>
      </c>
      <c r="D20" s="91">
        <v>134</v>
      </c>
      <c r="E20" s="91">
        <v>200</v>
      </c>
      <c r="F20" s="94"/>
    </row>
    <row r="21" spans="1:6" ht="28.35" customHeight="1" x14ac:dyDescent="0.25">
      <c r="A21" s="62" t="s">
        <v>183</v>
      </c>
      <c r="B21" s="95">
        <v>6510</v>
      </c>
      <c r="C21" s="95">
        <v>6513</v>
      </c>
      <c r="D21" s="95">
        <v>6973</v>
      </c>
      <c r="E21" s="95">
        <v>7164</v>
      </c>
      <c r="F21" s="96">
        <v>2.9325963457699986</v>
      </c>
    </row>
    <row r="22" spans="1:6" ht="28.35" customHeight="1" x14ac:dyDescent="0.25">
      <c r="A22" s="66"/>
      <c r="B22" s="97"/>
      <c r="C22" s="97"/>
      <c r="D22" s="97"/>
      <c r="E22" s="97"/>
      <c r="F22" s="94"/>
    </row>
    <row r="23" spans="1:6" ht="15.75" x14ac:dyDescent="0.25">
      <c r="A23" s="70" t="s">
        <v>184</v>
      </c>
    </row>
    <row r="24" spans="1:6" ht="78.75" x14ac:dyDescent="0.25">
      <c r="A24" s="55" t="s">
        <v>172</v>
      </c>
      <c r="B24" s="56" t="s">
        <v>136</v>
      </c>
      <c r="C24" s="56" t="s">
        <v>185</v>
      </c>
      <c r="D24" s="98" t="s">
        <v>186</v>
      </c>
    </row>
    <row r="25" spans="1:6" ht="15.75" x14ac:dyDescent="0.25">
      <c r="A25" s="52" t="s">
        <v>173</v>
      </c>
      <c r="B25" s="92">
        <v>28</v>
      </c>
      <c r="C25" s="92">
        <v>0.27819175360158965</v>
      </c>
      <c r="D25" s="92">
        <v>1.0274927708544337</v>
      </c>
    </row>
    <row r="26" spans="1:6" ht="15.75" x14ac:dyDescent="0.25">
      <c r="A26" s="52" t="s">
        <v>174</v>
      </c>
      <c r="B26" s="92">
        <v>502</v>
      </c>
      <c r="C26" s="92">
        <v>4.9875807252856434</v>
      </c>
      <c r="D26" s="92">
        <v>0.18239508140779354</v>
      </c>
    </row>
    <row r="27" spans="1:6" ht="15.75" x14ac:dyDescent="0.25">
      <c r="A27" s="52" t="s">
        <v>175</v>
      </c>
      <c r="B27" s="92">
        <v>182</v>
      </c>
      <c r="C27" s="92">
        <v>1.8082463984103327</v>
      </c>
      <c r="D27" s="92">
        <v>1.7622425019970467</v>
      </c>
    </row>
    <row r="28" spans="1:6" ht="15.75" x14ac:dyDescent="0.25">
      <c r="A28" s="52" t="s">
        <v>176</v>
      </c>
      <c r="B28" s="92">
        <v>2873</v>
      </c>
      <c r="C28" s="92">
        <v>28.544461003477398</v>
      </c>
      <c r="D28" s="92">
        <v>105.88699244822668</v>
      </c>
    </row>
    <row r="29" spans="1:6" ht="15.75" x14ac:dyDescent="0.25">
      <c r="A29" s="52" t="s">
        <v>155</v>
      </c>
      <c r="B29" s="92">
        <v>4478</v>
      </c>
      <c r="C29" s="92">
        <v>44.490809736711377</v>
      </c>
      <c r="D29" s="92">
        <v>11.57664433978873</v>
      </c>
    </row>
    <row r="30" spans="1:6" ht="15.75" x14ac:dyDescent="0.25">
      <c r="A30" s="52" t="s">
        <v>177</v>
      </c>
      <c r="B30" s="92">
        <v>259</v>
      </c>
      <c r="C30" s="92">
        <v>2.5732737208147043</v>
      </c>
      <c r="D30" s="92">
        <v>4.9414278627847521</v>
      </c>
    </row>
    <row r="31" spans="1:6" ht="15.75" x14ac:dyDescent="0.25">
      <c r="A31" s="52" t="s">
        <v>164</v>
      </c>
      <c r="B31" s="91">
        <v>612</v>
      </c>
      <c r="C31" s="92">
        <v>6.0804769001490309</v>
      </c>
      <c r="D31" s="92">
        <v>17.569344364891169</v>
      </c>
    </row>
    <row r="32" spans="1:6" ht="15.75" x14ac:dyDescent="0.25">
      <c r="A32" s="52" t="s">
        <v>178</v>
      </c>
      <c r="B32" s="91">
        <v>161</v>
      </c>
      <c r="C32" s="92">
        <v>1.5996025832091405</v>
      </c>
      <c r="D32" s="92">
        <v>7.2646669790924684E-2</v>
      </c>
    </row>
    <row r="33" spans="1:5" ht="15.75" x14ac:dyDescent="0.25">
      <c r="A33" s="52" t="s">
        <v>179</v>
      </c>
      <c r="B33" s="91">
        <v>1075</v>
      </c>
      <c r="C33" s="92">
        <v>10.680576254346747</v>
      </c>
      <c r="D33" s="99" t="s">
        <v>187</v>
      </c>
    </row>
    <row r="34" spans="1:5" ht="27.6" customHeight="1" x14ac:dyDescent="0.25">
      <c r="A34" s="52" t="s">
        <v>180</v>
      </c>
      <c r="B34" s="91">
        <v>10170</v>
      </c>
      <c r="C34" s="52"/>
      <c r="D34" s="52"/>
    </row>
    <row r="35" spans="1:5" ht="26.1" customHeight="1" x14ac:dyDescent="0.25">
      <c r="A35" s="66" t="s">
        <v>181</v>
      </c>
      <c r="B35" s="91">
        <v>9843</v>
      </c>
      <c r="C35" s="52"/>
      <c r="D35" s="52"/>
      <c r="E35" s="100"/>
    </row>
    <row r="36" spans="1:5" ht="29.1" customHeight="1" x14ac:dyDescent="0.25">
      <c r="A36" s="52" t="s">
        <v>182</v>
      </c>
      <c r="B36" s="91">
        <v>222</v>
      </c>
      <c r="C36" s="52"/>
      <c r="D36" s="52"/>
    </row>
    <row r="37" spans="1:5" ht="27.6" customHeight="1" x14ac:dyDescent="0.25">
      <c r="A37" s="62" t="s">
        <v>183</v>
      </c>
      <c r="B37" s="95">
        <v>10065</v>
      </c>
      <c r="C37" s="101"/>
      <c r="D37" s="101"/>
    </row>
  </sheetData>
  <pageMargins left="0.70000000000000007" right="0.70000000000000007" top="0.75" bottom="0.75" header="0.30000000000000004" footer="0.30000000000000004"/>
  <pageSetup paperSize="0" scale="26"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6825-2F0F-48DA-B39E-8A5B1776488F}">
  <dimension ref="A1:N20"/>
  <sheetViews>
    <sheetView workbookViewId="0"/>
  </sheetViews>
  <sheetFormatPr defaultColWidth="19" defaultRowHeight="15" x14ac:dyDescent="0.25"/>
  <cols>
    <col min="1" max="1" width="40.140625" style="50" customWidth="1"/>
    <col min="2" max="2" width="39.5703125" style="50" customWidth="1"/>
    <col min="3" max="3" width="24.7109375" style="50" customWidth="1"/>
    <col min="4" max="4" width="19" style="50" customWidth="1"/>
    <col min="5" max="16384" width="19" style="50"/>
  </cols>
  <sheetData>
    <row r="1" spans="1:14" s="102" customFormat="1" ht="22.15" customHeight="1" x14ac:dyDescent="0.25">
      <c r="A1" s="46" t="s">
        <v>188</v>
      </c>
      <c r="B1" s="50"/>
      <c r="C1" s="50"/>
      <c r="D1" s="50"/>
      <c r="E1" s="50"/>
      <c r="F1" s="50"/>
      <c r="G1" s="50"/>
      <c r="H1" s="50"/>
      <c r="I1" s="50"/>
      <c r="J1" s="50"/>
      <c r="K1" s="50"/>
      <c r="L1" s="50"/>
    </row>
    <row r="2" spans="1:14" s="102" customFormat="1" ht="22.15" customHeight="1" x14ac:dyDescent="0.25">
      <c r="A2" s="46" t="s">
        <v>189</v>
      </c>
      <c r="B2" s="50"/>
      <c r="C2" s="50"/>
      <c r="D2" s="50"/>
      <c r="E2" s="50"/>
      <c r="F2" s="50"/>
      <c r="G2" s="50"/>
      <c r="H2" s="50"/>
      <c r="I2" s="50"/>
      <c r="J2" s="50"/>
      <c r="K2" s="50"/>
      <c r="L2" s="50"/>
      <c r="M2" s="50"/>
      <c r="N2" s="50"/>
    </row>
    <row r="3" spans="1:14" s="102" customFormat="1" ht="19.899999999999999" customHeight="1" x14ac:dyDescent="0.2">
      <c r="A3" s="52" t="s">
        <v>152</v>
      </c>
      <c r="B3" s="52"/>
      <c r="C3" s="52"/>
      <c r="D3" s="52"/>
      <c r="E3" s="52"/>
      <c r="F3" s="52"/>
      <c r="G3" s="52"/>
      <c r="H3" s="52"/>
      <c r="I3" s="52"/>
      <c r="J3" s="52"/>
      <c r="K3" s="52"/>
      <c r="L3" s="52"/>
    </row>
    <row r="4" spans="1:14" s="102" customFormat="1" ht="19.899999999999999" customHeight="1" x14ac:dyDescent="0.2">
      <c r="A4" s="52" t="s">
        <v>120</v>
      </c>
      <c r="B4" s="52"/>
      <c r="C4" s="52"/>
      <c r="D4" s="52"/>
      <c r="E4" s="52"/>
      <c r="F4" s="52"/>
      <c r="G4" s="52"/>
      <c r="H4" s="52"/>
      <c r="I4" s="52"/>
      <c r="J4" s="52"/>
      <c r="K4" s="52"/>
      <c r="L4" s="52"/>
    </row>
    <row r="5" spans="1:14" s="57" customFormat="1" ht="30" customHeight="1" x14ac:dyDescent="0.25">
      <c r="A5" s="55" t="s">
        <v>85</v>
      </c>
      <c r="B5" s="56" t="s">
        <v>190</v>
      </c>
      <c r="C5" s="84"/>
      <c r="D5" s="84"/>
      <c r="E5" s="84"/>
      <c r="F5" s="84"/>
      <c r="G5" s="84"/>
      <c r="H5" s="84"/>
      <c r="I5" s="84"/>
      <c r="J5" s="84"/>
      <c r="K5" s="84"/>
      <c r="L5" s="84"/>
    </row>
    <row r="6" spans="1:14" ht="15.75" x14ac:dyDescent="0.25">
      <c r="A6" s="52" t="s">
        <v>191</v>
      </c>
      <c r="B6" s="60">
        <v>51.649581970192656</v>
      </c>
      <c r="C6" s="78"/>
      <c r="L6" s="78"/>
    </row>
    <row r="7" spans="1:14" ht="15.75" x14ac:dyDescent="0.25">
      <c r="A7" s="52" t="s">
        <v>192</v>
      </c>
      <c r="B7" s="60">
        <v>41.091239549254816</v>
      </c>
      <c r="C7" s="78"/>
      <c r="L7" s="78"/>
    </row>
    <row r="8" spans="1:14" ht="15.75" x14ac:dyDescent="0.25">
      <c r="A8" s="52" t="s">
        <v>160</v>
      </c>
      <c r="B8" s="60">
        <v>4.1097782624500176</v>
      </c>
      <c r="C8" s="78"/>
      <c r="L8" s="78"/>
    </row>
    <row r="9" spans="1:14" ht="15.75" x14ac:dyDescent="0.25">
      <c r="A9" s="101" t="s">
        <v>193</v>
      </c>
      <c r="B9" s="103">
        <v>3.1494002181025076</v>
      </c>
      <c r="C9" s="78"/>
      <c r="L9" s="78"/>
    </row>
    <row r="10" spans="1:14" x14ac:dyDescent="0.25">
      <c r="B10" s="78"/>
      <c r="C10" s="78"/>
      <c r="L10" s="78"/>
    </row>
    <row r="11" spans="1:14" x14ac:dyDescent="0.25">
      <c r="B11" s="78"/>
      <c r="C11" s="78"/>
      <c r="L11" s="78"/>
    </row>
    <row r="12" spans="1:14" x14ac:dyDescent="0.25">
      <c r="B12" s="78"/>
      <c r="C12" s="78"/>
    </row>
    <row r="13" spans="1:14" x14ac:dyDescent="0.25">
      <c r="B13" s="78"/>
      <c r="C13" s="78"/>
    </row>
    <row r="14" spans="1:14" x14ac:dyDescent="0.25">
      <c r="B14" s="78"/>
      <c r="C14" s="78"/>
    </row>
    <row r="15" spans="1:14" x14ac:dyDescent="0.25">
      <c r="A15" s="57"/>
    </row>
    <row r="16" spans="1:14" x14ac:dyDescent="0.25">
      <c r="A16" s="57"/>
    </row>
    <row r="20" spans="3:3" x14ac:dyDescent="0.25">
      <c r="C20" s="104"/>
    </row>
  </sheetData>
  <pageMargins left="0.70000000000000007" right="0.70000000000000007" top="0.75" bottom="0.75" header="0.30000000000000004" footer="0.30000000000000004"/>
  <pageSetup paperSize="0" scale="31"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B514-9D32-4D97-8DA9-F6EE6A935CD8}">
  <dimension ref="A1:N16"/>
  <sheetViews>
    <sheetView workbookViewId="0"/>
  </sheetViews>
  <sheetFormatPr defaultColWidth="19" defaultRowHeight="15" x14ac:dyDescent="0.25"/>
  <cols>
    <col min="1" max="1" width="41.28515625" style="50" customWidth="1"/>
    <col min="2" max="2" width="22.7109375" style="50" customWidth="1"/>
    <col min="3" max="3" width="34.140625" style="50" customWidth="1"/>
    <col min="4" max="4" width="19" style="50" customWidth="1"/>
    <col min="5" max="16384" width="19" style="50"/>
  </cols>
  <sheetData>
    <row r="1" spans="1:14" s="105" customFormat="1" ht="22.15" customHeight="1" x14ac:dyDescent="0.25">
      <c r="A1" s="46" t="s">
        <v>194</v>
      </c>
      <c r="B1" s="50"/>
      <c r="C1" s="50"/>
      <c r="D1" s="50"/>
      <c r="E1" s="50"/>
      <c r="F1" s="50"/>
      <c r="G1" s="50"/>
      <c r="H1" s="50"/>
      <c r="I1" s="50"/>
      <c r="J1" s="50"/>
      <c r="K1" s="50"/>
      <c r="L1" s="50"/>
    </row>
    <row r="2" spans="1:14" s="105" customFormat="1" ht="22.15" customHeight="1" x14ac:dyDescent="0.25">
      <c r="A2" s="46" t="s">
        <v>189</v>
      </c>
      <c r="B2" s="50"/>
      <c r="C2" s="50"/>
      <c r="D2" s="50"/>
      <c r="E2" s="50"/>
      <c r="F2" s="50"/>
      <c r="G2" s="50"/>
      <c r="H2" s="50"/>
      <c r="I2" s="50"/>
      <c r="J2" s="50"/>
      <c r="K2" s="50"/>
      <c r="L2" s="50"/>
      <c r="M2" s="50"/>
      <c r="N2" s="50"/>
    </row>
    <row r="3" spans="1:14" s="105" customFormat="1" ht="19.899999999999999" customHeight="1" x14ac:dyDescent="0.2">
      <c r="A3" s="52" t="s">
        <v>152</v>
      </c>
      <c r="B3" s="52"/>
      <c r="C3" s="52"/>
      <c r="D3" s="52"/>
      <c r="E3" s="52"/>
      <c r="F3" s="52"/>
      <c r="G3" s="52"/>
      <c r="H3" s="52"/>
      <c r="I3" s="52"/>
      <c r="J3" s="52"/>
      <c r="K3" s="52"/>
      <c r="L3" s="52"/>
    </row>
    <row r="4" spans="1:14" s="105" customFormat="1" ht="19.899999999999999" customHeight="1" x14ac:dyDescent="0.2">
      <c r="A4" s="52" t="s">
        <v>120</v>
      </c>
      <c r="B4" s="52"/>
      <c r="C4" s="52"/>
      <c r="D4" s="52"/>
      <c r="E4" s="52"/>
      <c r="F4" s="52"/>
      <c r="G4" s="52"/>
      <c r="H4" s="52"/>
      <c r="I4" s="52"/>
      <c r="J4" s="52"/>
      <c r="K4" s="52"/>
      <c r="L4" s="52"/>
    </row>
    <row r="5" spans="1:14" s="57" customFormat="1" ht="33" customHeight="1" x14ac:dyDescent="0.25">
      <c r="A5" s="55" t="s">
        <v>85</v>
      </c>
      <c r="B5" s="56" t="s">
        <v>195</v>
      </c>
      <c r="C5" s="56" t="s">
        <v>196</v>
      </c>
      <c r="D5" s="84"/>
      <c r="E5" s="84"/>
      <c r="F5" s="84"/>
      <c r="G5" s="84"/>
      <c r="H5" s="84"/>
      <c r="I5" s="84"/>
      <c r="J5" s="84"/>
      <c r="K5" s="84"/>
      <c r="L5" s="84"/>
    </row>
    <row r="6" spans="1:14" ht="15.75" x14ac:dyDescent="0.25">
      <c r="A6" s="52" t="s">
        <v>191</v>
      </c>
      <c r="B6" s="60">
        <v>51.649581970192656</v>
      </c>
      <c r="C6" s="60">
        <v>8.5446261217552717</v>
      </c>
      <c r="L6" s="78"/>
    </row>
    <row r="7" spans="1:14" ht="15.75" x14ac:dyDescent="0.25">
      <c r="A7" s="52" t="s">
        <v>192</v>
      </c>
      <c r="B7" s="60">
        <v>41.091239549254816</v>
      </c>
      <c r="C7" s="60">
        <v>36.539143910126988</v>
      </c>
      <c r="L7" s="78"/>
    </row>
    <row r="8" spans="1:14" ht="15.75" x14ac:dyDescent="0.25">
      <c r="A8" s="52" t="s">
        <v>160</v>
      </c>
      <c r="B8" s="60">
        <v>4.1097782624500176</v>
      </c>
      <c r="C8" s="60">
        <v>8.72901134863762</v>
      </c>
      <c r="L8" s="78"/>
    </row>
    <row r="9" spans="1:14" ht="15.75" x14ac:dyDescent="0.25">
      <c r="A9" s="101" t="s">
        <v>193</v>
      </c>
      <c r="B9" s="103">
        <v>3.1494002181025076</v>
      </c>
      <c r="C9" s="103">
        <v>46.18721861948012</v>
      </c>
      <c r="L9" s="78"/>
    </row>
    <row r="10" spans="1:14" x14ac:dyDescent="0.25">
      <c r="B10" s="78"/>
      <c r="C10" s="78"/>
      <c r="L10" s="78"/>
    </row>
    <row r="11" spans="1:14" x14ac:dyDescent="0.25">
      <c r="B11" s="78"/>
      <c r="C11" s="78"/>
      <c r="L11" s="78"/>
    </row>
    <row r="12" spans="1:14" x14ac:dyDescent="0.25">
      <c r="B12" s="78"/>
      <c r="C12" s="78"/>
    </row>
    <row r="13" spans="1:14" x14ac:dyDescent="0.25">
      <c r="B13" s="78"/>
      <c r="C13" s="78"/>
    </row>
    <row r="14" spans="1:14" x14ac:dyDescent="0.25">
      <c r="B14" s="78"/>
      <c r="C14" s="78"/>
    </row>
    <row r="15" spans="1:14" x14ac:dyDescent="0.25">
      <c r="A15" s="57"/>
    </row>
    <row r="16" spans="1:14" x14ac:dyDescent="0.25">
      <c r="A16" s="57"/>
    </row>
  </sheetData>
  <pageMargins left="0.70000000000000007" right="0.70000000000000007" top="0.75" bottom="0.75" header="0.30000000000000004" footer="0.30000000000000004"/>
  <pageSetup paperSize="0" scale="31"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7FB1-72BD-4760-B4F1-970EBFE8CA34}">
  <dimension ref="A1:N13"/>
  <sheetViews>
    <sheetView workbookViewId="0"/>
  </sheetViews>
  <sheetFormatPr defaultColWidth="12.28515625" defaultRowHeight="15" x14ac:dyDescent="0.25"/>
  <cols>
    <col min="1" max="1" width="46" style="50" customWidth="1"/>
    <col min="2" max="7" width="19.28515625" style="50" customWidth="1"/>
    <col min="8" max="9" width="18.42578125" style="50" customWidth="1"/>
    <col min="10" max="10" width="12.28515625" style="50" customWidth="1"/>
    <col min="11" max="16384" width="12.28515625" style="50"/>
  </cols>
  <sheetData>
    <row r="1" spans="1:14" s="106" customFormat="1" ht="22.15" customHeight="1" x14ac:dyDescent="0.25">
      <c r="A1" s="46" t="s">
        <v>197</v>
      </c>
      <c r="B1" s="50"/>
      <c r="C1" s="50"/>
      <c r="D1" s="50"/>
      <c r="E1" s="50"/>
      <c r="F1" s="50"/>
      <c r="G1" s="50"/>
      <c r="H1" s="50"/>
    </row>
    <row r="2" spans="1:14" s="106" customFormat="1" ht="22.15" customHeight="1" x14ac:dyDescent="0.25">
      <c r="A2" s="46" t="s">
        <v>189</v>
      </c>
      <c r="B2" s="50"/>
      <c r="C2" s="50"/>
      <c r="D2" s="50"/>
      <c r="E2" s="50"/>
      <c r="F2" s="50"/>
      <c r="G2" s="50"/>
      <c r="H2" s="50"/>
      <c r="I2" s="50"/>
      <c r="J2" s="50"/>
      <c r="K2" s="50"/>
      <c r="L2" s="50"/>
      <c r="M2" s="50"/>
      <c r="N2" s="50"/>
    </row>
    <row r="3" spans="1:14" s="106" customFormat="1" ht="19.899999999999999" customHeight="1" x14ac:dyDescent="0.2">
      <c r="A3" s="52" t="s">
        <v>152</v>
      </c>
      <c r="B3" s="52"/>
      <c r="C3" s="52"/>
      <c r="D3" s="52"/>
      <c r="E3" s="52"/>
      <c r="F3" s="52"/>
      <c r="G3" s="52"/>
      <c r="H3" s="52"/>
    </row>
    <row r="4" spans="1:14" s="106" customFormat="1" ht="19.899999999999999" customHeight="1" x14ac:dyDescent="0.2">
      <c r="A4" s="52" t="s">
        <v>120</v>
      </c>
      <c r="B4" s="52"/>
      <c r="C4" s="52"/>
      <c r="D4" s="52"/>
      <c r="E4" s="52"/>
      <c r="F4" s="52"/>
      <c r="G4" s="52"/>
      <c r="H4" s="52"/>
    </row>
    <row r="5" spans="1:14" s="52" customFormat="1" ht="38.450000000000003" customHeight="1" x14ac:dyDescent="0.25">
      <c r="A5" s="55" t="s">
        <v>198</v>
      </c>
      <c r="B5" s="56" t="s">
        <v>138</v>
      </c>
      <c r="C5" s="56" t="s">
        <v>199</v>
      </c>
      <c r="D5" s="56" t="s">
        <v>141</v>
      </c>
      <c r="E5" s="56" t="s">
        <v>142</v>
      </c>
      <c r="F5" s="56" t="s">
        <v>143</v>
      </c>
      <c r="G5" s="56" t="s">
        <v>200</v>
      </c>
      <c r="H5" s="84"/>
    </row>
    <row r="6" spans="1:14" s="52" customFormat="1" ht="15" customHeight="1" x14ac:dyDescent="0.2">
      <c r="A6" s="52" t="s">
        <v>201</v>
      </c>
      <c r="B6" s="60">
        <v>55.30251701436994</v>
      </c>
      <c r="C6" s="60">
        <v>47.322404371584696</v>
      </c>
      <c r="D6" s="60">
        <v>49.319332806764855</v>
      </c>
      <c r="E6" s="60">
        <v>28.922903559019627</v>
      </c>
      <c r="F6" s="60">
        <v>35.606796116504853</v>
      </c>
      <c r="G6" s="60">
        <v>51.370108231665334</v>
      </c>
    </row>
    <row r="7" spans="1:14" s="52" customFormat="1" ht="17.25" customHeight="1" x14ac:dyDescent="0.2">
      <c r="A7" s="52" t="s">
        <v>202</v>
      </c>
      <c r="B7" s="60">
        <v>5.1756044778383403</v>
      </c>
      <c r="C7" s="60">
        <v>4.4411326378539497</v>
      </c>
      <c r="D7" s="60">
        <v>6.7927333550155646</v>
      </c>
      <c r="E7" s="60">
        <v>6.8363226594046393</v>
      </c>
      <c r="F7" s="60">
        <v>7.3300970873786406</v>
      </c>
      <c r="G7" s="60">
        <v>5.5472170967475423</v>
      </c>
    </row>
    <row r="8" spans="1:14" s="52" customFormat="1" x14ac:dyDescent="0.2">
      <c r="A8" s="52" t="s">
        <v>203</v>
      </c>
      <c r="B8" s="60">
        <v>15.496475775379979</v>
      </c>
      <c r="C8" s="60">
        <v>12.309985096870342</v>
      </c>
      <c r="D8" s="60">
        <v>13.775960600288064</v>
      </c>
      <c r="E8" s="60">
        <v>11.813315804300874</v>
      </c>
      <c r="F8" s="60">
        <v>13.349514563106796</v>
      </c>
      <c r="G8" s="60">
        <v>14.689763432568643</v>
      </c>
    </row>
    <row r="9" spans="1:14" s="52" customFormat="1" x14ac:dyDescent="0.2">
      <c r="A9" s="52" t="s">
        <v>163</v>
      </c>
      <c r="B9" s="60">
        <v>17.431007109124558</v>
      </c>
      <c r="C9" s="60">
        <v>21.400894187779432</v>
      </c>
      <c r="D9" s="60">
        <v>24.253124564419458</v>
      </c>
      <c r="E9" s="60">
        <v>42.229317306789369</v>
      </c>
      <c r="F9" s="60">
        <v>36.334951456310677</v>
      </c>
      <c r="G9" s="60">
        <v>21.07143840709427</v>
      </c>
    </row>
    <row r="10" spans="1:14" s="52" customFormat="1" x14ac:dyDescent="0.2">
      <c r="A10" s="52" t="s">
        <v>160</v>
      </c>
      <c r="B10" s="60">
        <v>3.9671544287924601</v>
      </c>
      <c r="C10" s="60">
        <v>11.177347242921014</v>
      </c>
      <c r="D10" s="60">
        <v>2.3602657622078707</v>
      </c>
      <c r="E10" s="60">
        <v>3.8876889848812093</v>
      </c>
      <c r="F10" s="60">
        <v>2.6941747572815533</v>
      </c>
      <c r="G10" s="60">
        <v>4.1867478174657817</v>
      </c>
    </row>
    <row r="11" spans="1:14" s="52" customFormat="1" x14ac:dyDescent="0.2">
      <c r="A11" s="52" t="s">
        <v>193</v>
      </c>
      <c r="B11" s="60">
        <v>2.6272411944947263</v>
      </c>
      <c r="C11" s="60">
        <v>3.3482364629905614</v>
      </c>
      <c r="D11" s="60">
        <v>3.4985829113041862</v>
      </c>
      <c r="E11" s="60">
        <v>6.3104516856042823</v>
      </c>
      <c r="F11" s="60">
        <v>4.6844660194174761</v>
      </c>
      <c r="G11" s="60">
        <v>3.1347250144584287</v>
      </c>
    </row>
    <row r="12" spans="1:14" s="52" customFormat="1" ht="28.9" customHeight="1" x14ac:dyDescent="0.25">
      <c r="A12" s="62" t="s">
        <v>200</v>
      </c>
      <c r="B12" s="107">
        <v>100</v>
      </c>
      <c r="C12" s="107">
        <v>100</v>
      </c>
      <c r="D12" s="107">
        <v>100</v>
      </c>
      <c r="E12" s="107">
        <v>100</v>
      </c>
      <c r="F12" s="107">
        <v>100</v>
      </c>
      <c r="G12" s="107">
        <v>100</v>
      </c>
    </row>
    <row r="13" spans="1:14" x14ac:dyDescent="0.25">
      <c r="A13" s="57"/>
    </row>
  </sheetData>
  <pageMargins left="0.70000000000000007" right="0.70000000000000007" top="0.75" bottom="0.75" header="0.30000000000000004" footer="0.30000000000000004"/>
  <pageSetup paperSize="0" scale="35"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E197-0533-4735-825A-979BD24E9407}">
  <dimension ref="A1:N66"/>
  <sheetViews>
    <sheetView workbookViewId="0"/>
  </sheetViews>
  <sheetFormatPr defaultColWidth="19" defaultRowHeight="15" x14ac:dyDescent="0.25"/>
  <cols>
    <col min="1" max="1" width="19.5703125" style="50" customWidth="1"/>
    <col min="2" max="3" width="27.5703125" style="50" customWidth="1"/>
    <col min="4" max="4" width="19" style="50" customWidth="1"/>
    <col min="5" max="16384" width="19" style="50"/>
  </cols>
  <sheetData>
    <row r="1" spans="1:14" s="108" customFormat="1" ht="22.15" customHeight="1" x14ac:dyDescent="0.25">
      <c r="A1" s="46" t="s">
        <v>204</v>
      </c>
      <c r="B1" s="50"/>
      <c r="C1" s="50"/>
      <c r="D1" s="50"/>
      <c r="E1" s="50"/>
      <c r="F1" s="50"/>
      <c r="G1" s="50"/>
      <c r="H1" s="50"/>
      <c r="I1" s="50"/>
      <c r="J1" s="50"/>
      <c r="K1" s="50"/>
      <c r="L1" s="50"/>
    </row>
    <row r="2" spans="1:14" s="108" customFormat="1" ht="22.15" customHeight="1" x14ac:dyDescent="0.25">
      <c r="A2" s="46" t="s">
        <v>205</v>
      </c>
      <c r="B2" s="50"/>
      <c r="C2" s="50"/>
      <c r="D2" s="50"/>
      <c r="E2" s="50"/>
      <c r="F2" s="50"/>
      <c r="G2" s="50"/>
      <c r="H2" s="50"/>
      <c r="I2" s="50"/>
      <c r="J2" s="50"/>
      <c r="K2" s="50"/>
      <c r="L2" s="50"/>
      <c r="M2" s="50"/>
      <c r="N2" s="50"/>
    </row>
    <row r="3" spans="1:14" s="108" customFormat="1" ht="19.899999999999999" customHeight="1" x14ac:dyDescent="0.2">
      <c r="A3" s="52" t="s">
        <v>152</v>
      </c>
      <c r="B3" s="52"/>
      <c r="C3" s="52"/>
      <c r="D3" s="52"/>
      <c r="E3" s="52"/>
      <c r="F3" s="52"/>
      <c r="G3" s="52"/>
      <c r="H3" s="52"/>
      <c r="I3" s="52"/>
      <c r="J3" s="52"/>
      <c r="K3" s="52"/>
      <c r="L3" s="52"/>
    </row>
    <row r="4" spans="1:14" s="108" customFormat="1" ht="19.899999999999999" customHeight="1" x14ac:dyDescent="0.2">
      <c r="A4" s="52" t="s">
        <v>120</v>
      </c>
      <c r="B4" s="52"/>
      <c r="C4" s="52"/>
      <c r="D4" s="52"/>
      <c r="E4" s="52"/>
      <c r="F4" s="52"/>
      <c r="G4" s="52"/>
      <c r="H4" s="52"/>
      <c r="I4" s="52"/>
      <c r="J4" s="52"/>
      <c r="K4" s="52"/>
      <c r="L4" s="52"/>
    </row>
    <row r="5" spans="1:14" s="85" customFormat="1" ht="54" customHeight="1" x14ac:dyDescent="0.25">
      <c r="A5" s="55" t="s">
        <v>206</v>
      </c>
      <c r="B5" s="56" t="s">
        <v>207</v>
      </c>
      <c r="C5" s="56" t="s">
        <v>208</v>
      </c>
      <c r="D5" s="84"/>
      <c r="E5" s="84"/>
      <c r="F5" s="84"/>
      <c r="G5" s="84"/>
      <c r="H5" s="84"/>
      <c r="I5" s="84"/>
      <c r="J5" s="84"/>
      <c r="K5" s="84"/>
      <c r="L5" s="84"/>
    </row>
    <row r="6" spans="1:14" s="52" customFormat="1" x14ac:dyDescent="0.2">
      <c r="A6" s="52" t="s">
        <v>126</v>
      </c>
      <c r="B6" s="61">
        <v>100</v>
      </c>
      <c r="C6" s="61">
        <v>100</v>
      </c>
      <c r="L6" s="61"/>
    </row>
    <row r="7" spans="1:14" s="52" customFormat="1" x14ac:dyDescent="0.2">
      <c r="A7" s="52" t="s">
        <v>127</v>
      </c>
      <c r="B7" s="61">
        <v>131.02713986343429</v>
      </c>
      <c r="C7" s="61">
        <v>119.42917876399834</v>
      </c>
      <c r="L7" s="61"/>
    </row>
    <row r="8" spans="1:14" s="52" customFormat="1" x14ac:dyDescent="0.2">
      <c r="A8" s="52" t="s">
        <v>128</v>
      </c>
      <c r="B8" s="61">
        <v>162.9193222615109</v>
      </c>
      <c r="C8" s="61">
        <v>157.2221070095396</v>
      </c>
      <c r="L8" s="61"/>
    </row>
    <row r="9" spans="1:14" s="52" customFormat="1" x14ac:dyDescent="0.2">
      <c r="A9" s="52" t="s">
        <v>129</v>
      </c>
      <c r="B9" s="61">
        <v>207.77996783503815</v>
      </c>
      <c r="C9" s="61">
        <v>193.57631688096225</v>
      </c>
      <c r="L9" s="61"/>
    </row>
    <row r="10" spans="1:14" s="52" customFormat="1" x14ac:dyDescent="0.2">
      <c r="A10" s="52" t="s">
        <v>209</v>
      </c>
      <c r="B10" s="61">
        <v>251.51416287167046</v>
      </c>
      <c r="C10" s="61">
        <v>224.47376607216921</v>
      </c>
      <c r="L10" s="61"/>
    </row>
    <row r="11" spans="1:14" s="52" customFormat="1" x14ac:dyDescent="0.2">
      <c r="A11" s="52" t="s">
        <v>148</v>
      </c>
      <c r="B11" s="61">
        <v>264.02492513794652</v>
      </c>
      <c r="C11" s="61">
        <v>239.29386146827042</v>
      </c>
      <c r="L11" s="61"/>
    </row>
    <row r="12" spans="1:14" s="52" customFormat="1" x14ac:dyDescent="0.2">
      <c r="A12" s="52" t="s">
        <v>132</v>
      </c>
      <c r="B12" s="61">
        <v>268.76221754127567</v>
      </c>
      <c r="C12" s="80">
        <v>258.74377851513896</v>
      </c>
    </row>
    <row r="13" spans="1:14" s="52" customFormat="1" x14ac:dyDescent="0.2">
      <c r="A13" s="52" t="s">
        <v>133</v>
      </c>
      <c r="B13" s="61">
        <v>323.91145430030377</v>
      </c>
      <c r="C13" s="61">
        <v>333.06978432185815</v>
      </c>
    </row>
    <row r="14" spans="1:14" s="52" customFormat="1" x14ac:dyDescent="0.2">
      <c r="A14" s="52" t="s">
        <v>134</v>
      </c>
      <c r="B14" s="61">
        <v>324.8950848256107</v>
      </c>
      <c r="C14" s="61">
        <v>318.9366445458316</v>
      </c>
    </row>
    <row r="15" spans="1:14" s="52" customFormat="1" x14ac:dyDescent="0.2">
      <c r="A15" s="52" t="s">
        <v>135</v>
      </c>
      <c r="B15" s="61">
        <v>296.26677965918134</v>
      </c>
      <c r="C15" s="61">
        <v>293.35856491082541</v>
      </c>
    </row>
    <row r="16" spans="1:14" s="52" customFormat="1" x14ac:dyDescent="0.2">
      <c r="A16" s="101" t="s">
        <v>136</v>
      </c>
      <c r="B16" s="82">
        <v>284.52426721827231</v>
      </c>
      <c r="C16" s="82">
        <v>300.67917876399832</v>
      </c>
    </row>
    <row r="66" spans="1:12" s="108" customFormat="1" ht="15.75" x14ac:dyDescent="0.25">
      <c r="A66" s="50"/>
      <c r="B66" s="50"/>
      <c r="C66" s="50"/>
      <c r="D66" s="50"/>
      <c r="E66" s="50"/>
      <c r="F66" s="50"/>
      <c r="G66" s="50"/>
      <c r="H66" s="50"/>
      <c r="I66" s="50"/>
      <c r="J66" s="50"/>
      <c r="K66" s="50"/>
      <c r="L66" s="50"/>
    </row>
  </sheetData>
  <pageMargins left="0.70000000000000007" right="0.70000000000000007" top="0.75" bottom="0.75" header="0.30000000000000004" footer="0.30000000000000004"/>
  <pageSetup paperSize="0" scale="28"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4D10-452B-492D-AD46-22269F2C25F8}">
  <dimension ref="A1:N125"/>
  <sheetViews>
    <sheetView workbookViewId="0"/>
  </sheetViews>
  <sheetFormatPr defaultColWidth="19" defaultRowHeight="15" x14ac:dyDescent="0.25"/>
  <cols>
    <col min="1" max="1" width="22.7109375" style="50" bestFit="1" customWidth="1"/>
    <col min="2" max="2" width="32.85546875" style="50" customWidth="1"/>
    <col min="3" max="3" width="27.42578125" style="50" customWidth="1"/>
    <col min="4" max="4" width="19" style="50" customWidth="1"/>
    <col min="5" max="16384" width="19" style="50"/>
  </cols>
  <sheetData>
    <row r="1" spans="1:14" s="109" customFormat="1" ht="22.15" customHeight="1" x14ac:dyDescent="0.25">
      <c r="A1" s="46" t="s">
        <v>210</v>
      </c>
      <c r="B1" s="50"/>
      <c r="C1" s="50"/>
      <c r="D1" s="50"/>
      <c r="E1" s="50"/>
      <c r="F1" s="50"/>
      <c r="G1" s="50"/>
      <c r="H1" s="50"/>
      <c r="I1" s="50"/>
      <c r="J1" s="50"/>
      <c r="K1" s="50"/>
      <c r="L1" s="50"/>
    </row>
    <row r="2" spans="1:14" s="109" customFormat="1" ht="22.15" customHeight="1" x14ac:dyDescent="0.25">
      <c r="A2" s="46" t="s">
        <v>211</v>
      </c>
      <c r="B2" s="50"/>
      <c r="C2" s="50"/>
      <c r="D2" s="50"/>
      <c r="E2" s="50"/>
      <c r="F2" s="50"/>
      <c r="G2" s="50"/>
      <c r="H2" s="50"/>
      <c r="I2" s="50"/>
      <c r="J2" s="50"/>
      <c r="K2" s="50"/>
      <c r="L2" s="50"/>
      <c r="M2" s="50"/>
      <c r="N2" s="50"/>
    </row>
    <row r="3" spans="1:14" s="109" customFormat="1" ht="19.899999999999999" customHeight="1" x14ac:dyDescent="0.2">
      <c r="A3" s="52" t="s">
        <v>152</v>
      </c>
      <c r="B3" s="52"/>
      <c r="C3" s="52"/>
      <c r="D3" s="52"/>
      <c r="E3" s="52"/>
      <c r="F3" s="52"/>
      <c r="G3" s="52"/>
      <c r="H3" s="52"/>
      <c r="I3" s="52"/>
      <c r="J3" s="52"/>
      <c r="K3" s="52"/>
      <c r="L3" s="52"/>
    </row>
    <row r="4" spans="1:14" s="109" customFormat="1" ht="20.45" customHeight="1" x14ac:dyDescent="0.2">
      <c r="A4" s="52" t="s">
        <v>120</v>
      </c>
      <c r="B4" s="52"/>
      <c r="C4" s="52"/>
      <c r="D4" s="52"/>
      <c r="E4" s="52"/>
      <c r="F4" s="52"/>
      <c r="G4" s="52"/>
      <c r="H4" s="52"/>
      <c r="I4" s="52"/>
      <c r="J4" s="52"/>
      <c r="K4" s="52"/>
      <c r="L4" s="52"/>
    </row>
    <row r="5" spans="1:14" s="85" customFormat="1" ht="27.6" customHeight="1" x14ac:dyDescent="0.25">
      <c r="A5" s="55" t="s">
        <v>206</v>
      </c>
      <c r="B5" s="56" t="s">
        <v>212</v>
      </c>
      <c r="C5" s="56" t="s">
        <v>213</v>
      </c>
      <c r="D5" s="84"/>
      <c r="E5" s="84"/>
      <c r="F5" s="84"/>
      <c r="G5" s="84"/>
      <c r="H5" s="84"/>
      <c r="I5" s="84"/>
      <c r="J5" s="84"/>
      <c r="K5" s="84"/>
      <c r="L5" s="84"/>
    </row>
    <row r="6" spans="1:14" s="52" customFormat="1" x14ac:dyDescent="0.2">
      <c r="A6" s="79">
        <v>42095</v>
      </c>
      <c r="B6" s="61">
        <v>100</v>
      </c>
      <c r="C6" s="61">
        <v>100</v>
      </c>
      <c r="L6" s="61"/>
    </row>
    <row r="7" spans="1:14" s="52" customFormat="1" x14ac:dyDescent="0.2">
      <c r="A7" s="79">
        <v>42125</v>
      </c>
      <c r="B7" s="61">
        <v>107.10865098335221</v>
      </c>
      <c r="C7" s="61">
        <v>100</v>
      </c>
      <c r="L7" s="61"/>
    </row>
    <row r="8" spans="1:14" s="52" customFormat="1" x14ac:dyDescent="0.2">
      <c r="A8" s="79">
        <v>42156</v>
      </c>
      <c r="B8" s="61">
        <v>108.26770662976475</v>
      </c>
      <c r="C8" s="61">
        <v>102.64129508662312</v>
      </c>
      <c r="L8" s="61"/>
    </row>
    <row r="9" spans="1:14" s="52" customFormat="1" x14ac:dyDescent="0.2">
      <c r="A9" s="79">
        <v>42186</v>
      </c>
      <c r="B9" s="61">
        <v>112.87960749779846</v>
      </c>
      <c r="C9" s="61">
        <v>110.96279466060778</v>
      </c>
      <c r="L9" s="61"/>
    </row>
    <row r="10" spans="1:14" s="52" customFormat="1" x14ac:dyDescent="0.2">
      <c r="A10" s="79">
        <v>42217</v>
      </c>
      <c r="B10" s="61">
        <v>107.58502117666792</v>
      </c>
      <c r="C10" s="61">
        <v>102.21527975007101</v>
      </c>
      <c r="L10" s="61"/>
    </row>
    <row r="11" spans="1:14" s="52" customFormat="1" x14ac:dyDescent="0.2">
      <c r="A11" s="79">
        <v>42248</v>
      </c>
      <c r="B11" s="61">
        <v>104.47268000167736</v>
      </c>
      <c r="C11" s="61">
        <v>94.632206759443335</v>
      </c>
      <c r="L11" s="61"/>
    </row>
    <row r="12" spans="1:14" s="52" customFormat="1" x14ac:dyDescent="0.2">
      <c r="A12" s="79">
        <v>42278</v>
      </c>
      <c r="B12" s="61">
        <v>111.80358116324905</v>
      </c>
      <c r="C12" s="61">
        <v>101.98807157057654</v>
      </c>
    </row>
    <row r="13" spans="1:14" s="52" customFormat="1" x14ac:dyDescent="0.2">
      <c r="A13" s="79">
        <v>42309</v>
      </c>
      <c r="B13" s="61">
        <v>108.68620790875163</v>
      </c>
      <c r="C13" s="61">
        <v>102.72649815393355</v>
      </c>
    </row>
    <row r="14" spans="1:14" s="52" customFormat="1" x14ac:dyDescent="0.2">
      <c r="A14" s="79">
        <v>42339</v>
      </c>
      <c r="B14" s="61">
        <v>111.93273787059169</v>
      </c>
      <c r="C14" s="61">
        <v>99.119568304458966</v>
      </c>
    </row>
    <row r="15" spans="1:14" s="52" customFormat="1" x14ac:dyDescent="0.2">
      <c r="A15" s="79">
        <v>42370</v>
      </c>
      <c r="B15" s="61">
        <v>107.76953075858599</v>
      </c>
      <c r="C15" s="61">
        <v>87.787560352172676</v>
      </c>
    </row>
    <row r="16" spans="1:14" s="52" customFormat="1" x14ac:dyDescent="0.2">
      <c r="A16" s="79">
        <v>42401</v>
      </c>
      <c r="B16" s="61">
        <v>105.83385750828197</v>
      </c>
      <c r="C16" s="61">
        <v>87.929565464356713</v>
      </c>
    </row>
    <row r="17" spans="1:3" s="52" customFormat="1" x14ac:dyDescent="0.2">
      <c r="A17" s="79">
        <v>42430</v>
      </c>
      <c r="B17" s="61">
        <v>115.74202205728184</v>
      </c>
      <c r="C17" s="61">
        <v>99.062766259585345</v>
      </c>
    </row>
    <row r="18" spans="1:3" s="52" customFormat="1" x14ac:dyDescent="0.2">
      <c r="A18" s="79">
        <v>42461</v>
      </c>
      <c r="B18" s="61">
        <v>112.79406214618191</v>
      </c>
      <c r="C18" s="61">
        <v>96.989491621698377</v>
      </c>
    </row>
    <row r="19" spans="1:3" s="52" customFormat="1" x14ac:dyDescent="0.2">
      <c r="A19" s="79">
        <v>42491</v>
      </c>
      <c r="B19" s="61">
        <v>124.57332159181449</v>
      </c>
      <c r="C19" s="61">
        <v>109.11672820221528</v>
      </c>
    </row>
    <row r="20" spans="1:3" s="52" customFormat="1" x14ac:dyDescent="0.2">
      <c r="A20" s="79">
        <v>42522</v>
      </c>
      <c r="B20" s="61">
        <v>120.92422526942592</v>
      </c>
      <c r="C20" s="61">
        <v>121.21556376029537</v>
      </c>
    </row>
    <row r="21" spans="1:3" s="52" customFormat="1" x14ac:dyDescent="0.2">
      <c r="A21" s="79">
        <v>42552</v>
      </c>
      <c r="B21" s="61">
        <v>127.63869669140773</v>
      </c>
      <c r="C21" s="61">
        <v>161.03379721669981</v>
      </c>
    </row>
    <row r="22" spans="1:3" s="52" customFormat="1" x14ac:dyDescent="0.2">
      <c r="A22" s="79">
        <v>42583</v>
      </c>
      <c r="B22" s="61">
        <v>122.98486182748354</v>
      </c>
      <c r="C22" s="61">
        <v>129.65066742402726</v>
      </c>
    </row>
    <row r="23" spans="1:3" s="52" customFormat="1" x14ac:dyDescent="0.2">
      <c r="A23" s="79">
        <v>42614</v>
      </c>
      <c r="B23" s="61">
        <v>124.68738206063655</v>
      </c>
      <c r="C23" s="61">
        <v>124.14086907128656</v>
      </c>
    </row>
    <row r="24" spans="1:3" s="52" customFormat="1" x14ac:dyDescent="0.2">
      <c r="A24" s="79">
        <v>42644</v>
      </c>
      <c r="B24" s="61">
        <v>131.87990103576971</v>
      </c>
      <c r="C24" s="61">
        <v>117.15421755183186</v>
      </c>
    </row>
    <row r="25" spans="1:3" s="52" customFormat="1" x14ac:dyDescent="0.2">
      <c r="A25" s="79">
        <v>42675</v>
      </c>
      <c r="B25" s="61">
        <v>122.9454438713465</v>
      </c>
      <c r="C25" s="61">
        <v>107.01505254189151</v>
      </c>
    </row>
    <row r="26" spans="1:3" s="52" customFormat="1" x14ac:dyDescent="0.2">
      <c r="A26" s="79">
        <v>42705</v>
      </c>
      <c r="B26" s="61">
        <v>127.06252358787269</v>
      </c>
      <c r="C26" s="61">
        <v>107.10025560920194</v>
      </c>
    </row>
    <row r="27" spans="1:3" s="52" customFormat="1" x14ac:dyDescent="0.2">
      <c r="A27" s="79">
        <v>42736</v>
      </c>
      <c r="B27" s="61">
        <v>123.93340881452593</v>
      </c>
      <c r="C27" s="61">
        <v>97.642715137744958</v>
      </c>
    </row>
    <row r="28" spans="1:3" s="52" customFormat="1" x14ac:dyDescent="0.2">
      <c r="A28" s="79">
        <v>42767</v>
      </c>
      <c r="B28" s="61">
        <v>120.81771291986414</v>
      </c>
      <c r="C28" s="61">
        <v>101.93126952570293</v>
      </c>
    </row>
    <row r="29" spans="1:3" s="52" customFormat="1" x14ac:dyDescent="0.2">
      <c r="A29" s="79">
        <v>42795</v>
      </c>
      <c r="B29" s="61">
        <v>141.7637438671531</v>
      </c>
      <c r="C29" s="61">
        <v>125.90173246236864</v>
      </c>
    </row>
    <row r="30" spans="1:3" s="52" customFormat="1" x14ac:dyDescent="0.2">
      <c r="A30" s="79">
        <v>42826</v>
      </c>
      <c r="B30" s="61">
        <v>128.58053423910764</v>
      </c>
      <c r="C30" s="61">
        <v>124.51008236296506</v>
      </c>
    </row>
    <row r="31" spans="1:3" s="52" customFormat="1" x14ac:dyDescent="0.2">
      <c r="A31" s="79">
        <v>42856</v>
      </c>
      <c r="B31" s="61">
        <v>138.83926699375183</v>
      </c>
      <c r="C31" s="61">
        <v>145.66884407838683</v>
      </c>
    </row>
    <row r="32" spans="1:3" s="52" customFormat="1" x14ac:dyDescent="0.2">
      <c r="A32" s="79">
        <v>42887</v>
      </c>
      <c r="B32" s="61">
        <v>139.46408353251982</v>
      </c>
      <c r="C32" s="61">
        <v>174.77989207611475</v>
      </c>
    </row>
    <row r="33" spans="1:3" s="52" customFormat="1" x14ac:dyDescent="0.2">
      <c r="A33" s="79">
        <v>42917</v>
      </c>
      <c r="B33" s="61">
        <v>146.99291315469452</v>
      </c>
      <c r="C33" s="61">
        <v>158.64811133200794</v>
      </c>
    </row>
    <row r="34" spans="1:3" s="52" customFormat="1" x14ac:dyDescent="0.2">
      <c r="A34" s="79">
        <v>42948</v>
      </c>
      <c r="B34" s="61">
        <v>138.1372919025454</v>
      </c>
      <c r="C34" s="61">
        <v>140.44305595001421</v>
      </c>
    </row>
    <row r="35" spans="1:3" s="52" customFormat="1" x14ac:dyDescent="0.2">
      <c r="A35" s="79">
        <v>42979</v>
      </c>
      <c r="B35" s="61">
        <v>133.26036818048391</v>
      </c>
      <c r="C35" s="61">
        <v>128.79863675092304</v>
      </c>
    </row>
    <row r="36" spans="1:3" s="52" customFormat="1" x14ac:dyDescent="0.2">
      <c r="A36" s="79">
        <v>43009</v>
      </c>
      <c r="B36" s="61">
        <v>146.3655805761731</v>
      </c>
      <c r="C36" s="61">
        <v>133.22919625106505</v>
      </c>
    </row>
    <row r="37" spans="1:3" s="52" customFormat="1" x14ac:dyDescent="0.2">
      <c r="A37" s="79">
        <v>43040</v>
      </c>
      <c r="B37" s="61">
        <v>136.96733341720133</v>
      </c>
      <c r="C37" s="61">
        <v>121.32916785004259</v>
      </c>
    </row>
    <row r="38" spans="1:3" s="52" customFormat="1" x14ac:dyDescent="0.2">
      <c r="A38" s="79">
        <v>43070</v>
      </c>
      <c r="B38" s="61">
        <v>132.55336100977061</v>
      </c>
      <c r="C38" s="61">
        <v>115.33655211587617</v>
      </c>
    </row>
    <row r="39" spans="1:3" s="52" customFormat="1" x14ac:dyDescent="0.2">
      <c r="A39" s="79">
        <v>43101</v>
      </c>
      <c r="B39" s="61">
        <v>131.76751792678326</v>
      </c>
      <c r="C39" s="61">
        <v>114.37091735302471</v>
      </c>
    </row>
    <row r="40" spans="1:3" s="52" customFormat="1" x14ac:dyDescent="0.2">
      <c r="A40" s="79">
        <v>43132</v>
      </c>
      <c r="B40" s="61">
        <v>121.24711703778253</v>
      </c>
      <c r="C40" s="61">
        <v>108.17949446180063</v>
      </c>
    </row>
    <row r="41" spans="1:3" s="52" customFormat="1" x14ac:dyDescent="0.2">
      <c r="A41" s="79">
        <v>43160</v>
      </c>
      <c r="B41" s="61">
        <v>140.2247662179729</v>
      </c>
      <c r="C41" s="61">
        <v>135.98409542743539</v>
      </c>
    </row>
    <row r="42" spans="1:3" s="52" customFormat="1" x14ac:dyDescent="0.2">
      <c r="A42" s="79">
        <v>43191</v>
      </c>
      <c r="B42" s="61">
        <v>143.52916509414183</v>
      </c>
      <c r="C42" s="61">
        <v>138.90940073842657</v>
      </c>
    </row>
    <row r="43" spans="1:3" s="52" customFormat="1" x14ac:dyDescent="0.2">
      <c r="A43" s="79">
        <v>43221</v>
      </c>
      <c r="B43" s="61">
        <v>159.8750366922464</v>
      </c>
      <c r="C43" s="61">
        <v>158.39250213007668</v>
      </c>
    </row>
    <row r="44" spans="1:3" s="52" customFormat="1" x14ac:dyDescent="0.2">
      <c r="A44" s="79">
        <v>43252</v>
      </c>
      <c r="B44" s="61">
        <v>159.23596259487567</v>
      </c>
      <c r="C44" s="61">
        <v>163.19227492189719</v>
      </c>
    </row>
    <row r="45" spans="1:3" s="52" customFormat="1" x14ac:dyDescent="0.2">
      <c r="A45" s="79">
        <v>43282</v>
      </c>
      <c r="B45" s="61">
        <v>171.17457122489202</v>
      </c>
      <c r="C45" s="61">
        <v>174.6378869639307</v>
      </c>
    </row>
    <row r="46" spans="1:3" s="52" customFormat="1" x14ac:dyDescent="0.2">
      <c r="A46" s="79">
        <v>43313</v>
      </c>
      <c r="B46" s="61">
        <v>153.20753134566192</v>
      </c>
      <c r="C46" s="61">
        <v>145.2428287418347</v>
      </c>
    </row>
    <row r="47" spans="1:3" s="52" customFormat="1" x14ac:dyDescent="0.2">
      <c r="A47" s="79">
        <v>43344</v>
      </c>
      <c r="B47" s="61">
        <v>148.47737660921709</v>
      </c>
      <c r="C47" s="61">
        <v>137.94376597557513</v>
      </c>
    </row>
    <row r="48" spans="1:3" s="52" customFormat="1" x14ac:dyDescent="0.2">
      <c r="A48" s="79">
        <v>43374</v>
      </c>
      <c r="B48" s="61">
        <v>155.71350694007631</v>
      </c>
      <c r="C48" s="61">
        <v>145.55523998863958</v>
      </c>
    </row>
    <row r="49" spans="1:3" s="52" customFormat="1" x14ac:dyDescent="0.2">
      <c r="A49" s="79">
        <v>43405</v>
      </c>
      <c r="B49" s="61">
        <v>148.70969094645028</v>
      </c>
      <c r="C49" s="61">
        <v>135.33087191138881</v>
      </c>
    </row>
    <row r="50" spans="1:3" s="52" customFormat="1" x14ac:dyDescent="0.2">
      <c r="A50" s="79">
        <v>43435</v>
      </c>
      <c r="B50" s="61">
        <v>147.67643728770915</v>
      </c>
      <c r="C50" s="61">
        <v>133.85401874467482</v>
      </c>
    </row>
    <row r="51" spans="1:3" s="52" customFormat="1" x14ac:dyDescent="0.2">
      <c r="A51" s="79">
        <v>43466</v>
      </c>
      <c r="B51" s="61">
        <v>144.566612152472</v>
      </c>
      <c r="C51" s="61">
        <v>121.84038625390514</v>
      </c>
    </row>
    <row r="52" spans="1:3" s="52" customFormat="1" x14ac:dyDescent="0.2">
      <c r="A52" s="79">
        <v>43497</v>
      </c>
      <c r="B52" s="61">
        <v>137.57537635761312</v>
      </c>
      <c r="C52" s="61">
        <v>129.25305310991195</v>
      </c>
    </row>
    <row r="53" spans="1:3" s="52" customFormat="1" x14ac:dyDescent="0.2">
      <c r="A53" s="79">
        <v>43525</v>
      </c>
      <c r="B53" s="61">
        <v>156.94049565983141</v>
      </c>
      <c r="C53" s="61">
        <v>157.7392786140301</v>
      </c>
    </row>
    <row r="54" spans="1:3" s="52" customFormat="1" x14ac:dyDescent="0.2">
      <c r="A54" s="79">
        <v>43556</v>
      </c>
      <c r="B54" s="61">
        <v>151.18044198431667</v>
      </c>
      <c r="C54" s="61">
        <v>153.90514058506108</v>
      </c>
    </row>
    <row r="55" spans="1:3" s="52" customFormat="1" x14ac:dyDescent="0.2">
      <c r="A55" s="79">
        <v>43586</v>
      </c>
      <c r="B55" s="61">
        <v>159.09170964901244</v>
      </c>
      <c r="C55" s="61">
        <v>156.85884691848906</v>
      </c>
    </row>
    <row r="56" spans="1:3" s="52" customFormat="1" x14ac:dyDescent="0.2">
      <c r="A56" s="79">
        <v>43617</v>
      </c>
      <c r="B56" s="61">
        <v>157.40344697446218</v>
      </c>
      <c r="C56" s="61">
        <v>153.10991195683044</v>
      </c>
    </row>
    <row r="57" spans="1:3" s="52" customFormat="1" x14ac:dyDescent="0.2">
      <c r="A57" s="79">
        <v>43647</v>
      </c>
      <c r="B57" s="61">
        <v>171.28276093428943</v>
      </c>
      <c r="C57" s="61">
        <v>176.59755751207044</v>
      </c>
    </row>
    <row r="58" spans="1:3" s="52" customFormat="1" x14ac:dyDescent="0.2">
      <c r="A58" s="79">
        <v>43678</v>
      </c>
      <c r="B58" s="61">
        <v>159.22757579569756</v>
      </c>
      <c r="C58" s="61">
        <v>159.64214711729622</v>
      </c>
    </row>
    <row r="59" spans="1:3" s="52" customFormat="1" x14ac:dyDescent="0.2">
      <c r="A59" s="79">
        <v>43709</v>
      </c>
      <c r="B59" s="61">
        <v>154.02188954585483</v>
      </c>
      <c r="C59" s="61">
        <v>147.20249928997444</v>
      </c>
    </row>
    <row r="60" spans="1:3" s="52" customFormat="1" x14ac:dyDescent="0.2">
      <c r="A60" s="79">
        <v>43739</v>
      </c>
      <c r="B60" s="61">
        <v>158.7210131253407</v>
      </c>
      <c r="C60" s="61">
        <v>151.83186594717409</v>
      </c>
    </row>
    <row r="61" spans="1:3" s="52" customFormat="1" x14ac:dyDescent="0.2">
      <c r="A61" s="79">
        <v>43770</v>
      </c>
      <c r="B61" s="61">
        <v>154.27265484127983</v>
      </c>
      <c r="C61" s="61">
        <v>139.67622834422039</v>
      </c>
    </row>
    <row r="62" spans="1:3" s="52" customFormat="1" x14ac:dyDescent="0.2">
      <c r="A62" s="79">
        <v>43800</v>
      </c>
      <c r="B62" s="61">
        <v>152.11305405292072</v>
      </c>
      <c r="C62" s="61">
        <v>140.18744674808292</v>
      </c>
    </row>
    <row r="63" spans="1:3" s="52" customFormat="1" x14ac:dyDescent="0.2">
      <c r="A63" s="79">
        <v>43831</v>
      </c>
      <c r="B63" s="61">
        <v>152.98444248752463</v>
      </c>
      <c r="C63" s="61">
        <v>135.18886679920476</v>
      </c>
    </row>
    <row r="64" spans="1:3" s="52" customFormat="1" x14ac:dyDescent="0.2">
      <c r="A64" s="79">
        <v>43862</v>
      </c>
      <c r="B64" s="61">
        <v>145.30968255965112</v>
      </c>
      <c r="C64" s="61">
        <v>141.32348764555525</v>
      </c>
    </row>
    <row r="65" spans="1:12" s="52" customFormat="1" x14ac:dyDescent="0.2">
      <c r="A65" s="79">
        <v>43891</v>
      </c>
      <c r="B65" s="61">
        <v>146.9375602801191</v>
      </c>
      <c r="C65" s="61">
        <v>145.18602669696108</v>
      </c>
    </row>
    <row r="66" spans="1:12" s="109" customFormat="1" x14ac:dyDescent="0.2">
      <c r="A66" s="79">
        <v>43922</v>
      </c>
      <c r="B66" s="61">
        <v>118.90468402734096</v>
      </c>
      <c r="C66" s="61">
        <v>114.82533371201363</v>
      </c>
      <c r="D66" s="52"/>
      <c r="E66" s="52"/>
      <c r="F66" s="52"/>
      <c r="G66" s="52"/>
      <c r="H66" s="52"/>
      <c r="I66" s="52"/>
      <c r="J66" s="52"/>
      <c r="K66" s="52"/>
      <c r="L66" s="52"/>
    </row>
    <row r="67" spans="1:12" s="109" customFormat="1" x14ac:dyDescent="0.2">
      <c r="A67" s="79">
        <v>43952</v>
      </c>
      <c r="B67" s="61">
        <v>135.55667379544596</v>
      </c>
      <c r="C67" s="61">
        <v>144.84521442771938</v>
      </c>
      <c r="D67" s="52"/>
      <c r="E67" s="52"/>
      <c r="F67" s="52"/>
      <c r="G67" s="52"/>
      <c r="H67" s="52"/>
      <c r="I67" s="52"/>
      <c r="J67" s="52"/>
      <c r="K67" s="52"/>
      <c r="L67" s="52"/>
    </row>
    <row r="68" spans="1:12" s="109" customFormat="1" x14ac:dyDescent="0.2">
      <c r="A68" s="79">
        <v>43983</v>
      </c>
      <c r="B68" s="61">
        <v>144.17746467060846</v>
      </c>
      <c r="C68" s="61">
        <v>205.87901164441919</v>
      </c>
      <c r="D68" s="52"/>
      <c r="E68" s="52"/>
      <c r="F68" s="52"/>
      <c r="G68" s="52"/>
      <c r="H68" s="52"/>
      <c r="I68" s="52"/>
      <c r="J68" s="52"/>
      <c r="K68" s="52"/>
      <c r="L68" s="52"/>
    </row>
    <row r="69" spans="1:12" s="109" customFormat="1" x14ac:dyDescent="0.2">
      <c r="A69" s="79">
        <v>44013</v>
      </c>
      <c r="B69" s="61">
        <v>162.63429362183922</v>
      </c>
      <c r="C69" s="61">
        <v>208.57710877591595</v>
      </c>
      <c r="D69" s="52"/>
      <c r="E69" s="52"/>
      <c r="F69" s="52"/>
      <c r="G69" s="52"/>
      <c r="H69" s="52"/>
      <c r="I69" s="52"/>
      <c r="J69" s="52"/>
      <c r="K69" s="52"/>
      <c r="L69" s="52"/>
    </row>
    <row r="70" spans="1:12" s="109" customFormat="1" x14ac:dyDescent="0.2">
      <c r="A70" s="79">
        <v>44044</v>
      </c>
      <c r="B70" s="61">
        <v>167.25038788946199</v>
      </c>
      <c r="C70" s="61">
        <v>204.91337688156773</v>
      </c>
      <c r="D70" s="52"/>
      <c r="E70" s="52"/>
      <c r="F70" s="52"/>
      <c r="G70" s="52"/>
      <c r="H70" s="52"/>
      <c r="I70" s="52"/>
      <c r="J70" s="52"/>
      <c r="K70" s="52"/>
      <c r="L70" s="52"/>
    </row>
    <row r="71" spans="1:12" s="109" customFormat="1" x14ac:dyDescent="0.2">
      <c r="A71" s="79">
        <v>44075</v>
      </c>
      <c r="B71" s="61">
        <v>154.71799387763659</v>
      </c>
      <c r="C71" s="61">
        <v>178.18801476853167</v>
      </c>
      <c r="D71" s="52"/>
      <c r="E71" s="52"/>
      <c r="F71" s="52"/>
      <c r="G71" s="52"/>
      <c r="H71" s="52"/>
      <c r="I71" s="52"/>
      <c r="J71" s="52"/>
      <c r="K71" s="52"/>
      <c r="L71" s="52"/>
    </row>
    <row r="72" spans="1:12" s="109" customFormat="1" x14ac:dyDescent="0.2">
      <c r="A72" s="79">
        <v>44105</v>
      </c>
      <c r="B72" s="61">
        <v>146.71363274206399</v>
      </c>
      <c r="C72" s="61">
        <v>156.2624254473161</v>
      </c>
      <c r="D72" s="52"/>
      <c r="E72" s="52"/>
      <c r="F72" s="52"/>
      <c r="G72" s="52"/>
      <c r="H72" s="52"/>
      <c r="I72" s="52"/>
      <c r="J72" s="52"/>
      <c r="K72" s="52"/>
      <c r="L72" s="52"/>
    </row>
    <row r="73" spans="1:12" s="109" customFormat="1" x14ac:dyDescent="0.2">
      <c r="A73" s="79">
        <v>44136</v>
      </c>
      <c r="B73" s="61">
        <v>135.90137124166563</v>
      </c>
      <c r="C73" s="61">
        <v>134.73445044021585</v>
      </c>
      <c r="D73" s="52"/>
      <c r="E73" s="52"/>
      <c r="F73" s="52"/>
      <c r="G73" s="52"/>
      <c r="H73" s="52"/>
      <c r="I73" s="52"/>
      <c r="J73" s="52"/>
      <c r="K73" s="52"/>
      <c r="L73" s="52"/>
    </row>
    <row r="74" spans="1:12" s="109" customFormat="1" x14ac:dyDescent="0.2">
      <c r="A74" s="79">
        <v>44166</v>
      </c>
      <c r="B74" s="61">
        <v>132.87876881788065</v>
      </c>
      <c r="C74" s="61">
        <v>129.25305310991195</v>
      </c>
      <c r="D74" s="52"/>
      <c r="E74" s="52"/>
      <c r="F74" s="52"/>
      <c r="G74" s="52"/>
      <c r="H74" s="52"/>
      <c r="I74" s="52"/>
      <c r="J74" s="52"/>
      <c r="K74" s="52"/>
      <c r="L74" s="52"/>
    </row>
    <row r="75" spans="1:12" s="109" customFormat="1" x14ac:dyDescent="0.2">
      <c r="A75" s="79">
        <v>44197</v>
      </c>
      <c r="B75" s="61">
        <v>121.01815742022058</v>
      </c>
      <c r="C75" s="61">
        <v>117.01221243964783</v>
      </c>
      <c r="D75" s="52"/>
      <c r="E75" s="52"/>
      <c r="F75" s="52"/>
      <c r="G75" s="52"/>
      <c r="H75" s="52"/>
      <c r="I75" s="52"/>
      <c r="J75" s="52"/>
      <c r="K75" s="52"/>
      <c r="L75" s="52"/>
    </row>
    <row r="76" spans="1:12" s="109" customFormat="1" x14ac:dyDescent="0.2">
      <c r="A76" s="79">
        <v>44228</v>
      </c>
      <c r="B76" s="61">
        <v>117.60137543506521</v>
      </c>
      <c r="C76" s="61">
        <v>117.94944618006248</v>
      </c>
      <c r="D76" s="52"/>
      <c r="E76" s="52"/>
      <c r="F76" s="52"/>
      <c r="G76" s="52"/>
      <c r="H76" s="52"/>
      <c r="I76" s="52"/>
      <c r="J76" s="52"/>
      <c r="K76" s="52"/>
      <c r="L76" s="52"/>
    </row>
    <row r="77" spans="1:12" s="109" customFormat="1" x14ac:dyDescent="0.2">
      <c r="A77" s="79">
        <v>44256</v>
      </c>
      <c r="B77" s="61">
        <v>150.67555667379546</v>
      </c>
      <c r="C77" s="61">
        <v>160.09656347628516</v>
      </c>
      <c r="D77" s="52"/>
      <c r="E77" s="52"/>
      <c r="F77" s="52"/>
      <c r="G77" s="52"/>
      <c r="H77" s="52"/>
      <c r="I77" s="52"/>
      <c r="J77" s="52"/>
      <c r="K77" s="52"/>
      <c r="L77" s="52"/>
    </row>
    <row r="78" spans="1:12" s="109" customFormat="1" x14ac:dyDescent="0.2">
      <c r="A78" s="79">
        <v>44287</v>
      </c>
      <c r="B78" s="61">
        <v>157.15855243846187</v>
      </c>
      <c r="C78" s="61">
        <v>177.44958818517466</v>
      </c>
      <c r="D78" s="52"/>
      <c r="E78" s="52"/>
      <c r="F78" s="52"/>
      <c r="G78" s="52"/>
      <c r="H78" s="52"/>
      <c r="I78" s="52"/>
      <c r="J78" s="52"/>
      <c r="K78" s="52"/>
      <c r="L78" s="52"/>
    </row>
    <row r="79" spans="1:12" s="109" customFormat="1" x14ac:dyDescent="0.2">
      <c r="A79" s="79">
        <v>44317</v>
      </c>
      <c r="B79" s="61">
        <v>170.08260997190422</v>
      </c>
      <c r="C79" s="61">
        <v>202.61289406418632</v>
      </c>
      <c r="D79" s="52"/>
      <c r="E79" s="52"/>
      <c r="F79" s="52"/>
      <c r="G79" s="52"/>
      <c r="H79" s="52"/>
      <c r="I79" s="52"/>
      <c r="J79" s="52"/>
      <c r="K79" s="52"/>
      <c r="L79" s="52"/>
    </row>
    <row r="80" spans="1:12" s="109" customFormat="1" x14ac:dyDescent="0.2">
      <c r="A80" s="79">
        <v>44348</v>
      </c>
      <c r="B80" s="61">
        <v>180.12580198767139</v>
      </c>
      <c r="C80" s="61">
        <v>224.25447316103379</v>
      </c>
      <c r="D80" s="52"/>
      <c r="E80" s="52"/>
      <c r="F80" s="52"/>
      <c r="G80" s="52"/>
      <c r="H80" s="52"/>
      <c r="I80" s="52"/>
      <c r="J80" s="52"/>
      <c r="K80" s="52"/>
      <c r="L80" s="52"/>
    </row>
    <row r="81" spans="1:12" s="109" customFormat="1" x14ac:dyDescent="0.2">
      <c r="A81" s="79">
        <v>44378</v>
      </c>
      <c r="B81" s="61">
        <v>184.30158929844424</v>
      </c>
      <c r="C81" s="61">
        <v>243.42516330587901</v>
      </c>
      <c r="D81" s="52"/>
      <c r="E81" s="52"/>
      <c r="F81" s="52"/>
      <c r="G81" s="52"/>
      <c r="H81" s="52"/>
      <c r="I81" s="52"/>
      <c r="J81" s="52"/>
      <c r="K81" s="52"/>
      <c r="L81" s="52"/>
    </row>
    <row r="82" spans="1:12" s="109" customFormat="1" x14ac:dyDescent="0.2">
      <c r="A82" s="79">
        <v>44409</v>
      </c>
      <c r="B82" s="61">
        <v>171.01689940034385</v>
      </c>
      <c r="C82" s="61">
        <v>200.02840102243681</v>
      </c>
      <c r="D82" s="52"/>
      <c r="E82" s="52"/>
      <c r="F82" s="52"/>
      <c r="G82" s="52"/>
      <c r="H82" s="52"/>
      <c r="I82" s="52"/>
      <c r="J82" s="52"/>
      <c r="K82" s="52"/>
      <c r="L82" s="52"/>
    </row>
    <row r="83" spans="1:12" s="109" customFormat="1" x14ac:dyDescent="0.2">
      <c r="A83" s="79">
        <v>44440</v>
      </c>
      <c r="B83" s="61">
        <v>175.13230175703444</v>
      </c>
      <c r="C83" s="61">
        <v>199.88639591025276</v>
      </c>
      <c r="D83" s="52"/>
      <c r="E83" s="52"/>
      <c r="F83" s="52"/>
      <c r="G83" s="52"/>
      <c r="H83" s="52"/>
      <c r="I83" s="52"/>
      <c r="J83" s="52"/>
      <c r="K83" s="52"/>
      <c r="L83" s="52"/>
    </row>
    <row r="84" spans="1:12" s="109" customFormat="1" x14ac:dyDescent="0.2">
      <c r="A84" s="79">
        <v>44470</v>
      </c>
      <c r="B84" s="61">
        <v>176.79540403405039</v>
      </c>
      <c r="C84" s="61">
        <v>198.43794376597558</v>
      </c>
      <c r="D84" s="52"/>
      <c r="E84" s="52"/>
      <c r="F84" s="52"/>
      <c r="G84" s="52"/>
      <c r="H84" s="52"/>
      <c r="I84" s="52"/>
      <c r="J84" s="52"/>
      <c r="K84" s="52"/>
      <c r="L84" s="52"/>
    </row>
    <row r="85" spans="1:12" s="109" customFormat="1" x14ac:dyDescent="0.2">
      <c r="A85" s="79">
        <v>44501</v>
      </c>
      <c r="B85" s="61">
        <v>170.62355851889126</v>
      </c>
      <c r="C85" s="61">
        <v>187.64555523998865</v>
      </c>
      <c r="D85" s="52"/>
      <c r="E85" s="52"/>
      <c r="F85" s="52"/>
      <c r="G85" s="52"/>
      <c r="H85" s="52"/>
      <c r="I85" s="52"/>
      <c r="J85" s="52"/>
      <c r="K85" s="52"/>
      <c r="L85" s="52"/>
    </row>
    <row r="86" spans="1:12" s="109" customFormat="1" x14ac:dyDescent="0.2">
      <c r="A86" s="79">
        <v>44531</v>
      </c>
      <c r="B86" s="61">
        <v>160.1702520233153</v>
      </c>
      <c r="C86" s="61">
        <v>164.58392502130076</v>
      </c>
      <c r="D86" s="52"/>
      <c r="E86" s="52"/>
      <c r="F86" s="52"/>
      <c r="G86" s="52"/>
      <c r="H86" s="52"/>
      <c r="I86" s="52"/>
      <c r="J86" s="52"/>
      <c r="K86" s="52"/>
      <c r="L86" s="52"/>
    </row>
    <row r="87" spans="1:12" s="109" customFormat="1" x14ac:dyDescent="0.2">
      <c r="A87" s="79">
        <v>44562</v>
      </c>
      <c r="B87" s="61">
        <v>159.69304315008176</v>
      </c>
      <c r="C87" s="61">
        <v>155.66600397614314</v>
      </c>
      <c r="D87" s="52"/>
      <c r="E87" s="52"/>
      <c r="F87" s="52"/>
      <c r="G87" s="52"/>
      <c r="H87" s="52"/>
      <c r="I87" s="52"/>
      <c r="J87" s="52"/>
      <c r="K87" s="52"/>
      <c r="L87" s="52"/>
    </row>
    <row r="88" spans="1:12" s="109" customFormat="1" x14ac:dyDescent="0.2">
      <c r="A88" s="79">
        <v>44593</v>
      </c>
      <c r="B88" s="61">
        <v>150.95232104667255</v>
      </c>
      <c r="C88" s="61">
        <v>149.19057086055099</v>
      </c>
      <c r="D88" s="52"/>
      <c r="E88" s="52"/>
      <c r="F88" s="52"/>
      <c r="G88" s="52"/>
      <c r="H88" s="52"/>
      <c r="I88" s="52"/>
      <c r="J88" s="52"/>
      <c r="K88" s="52"/>
      <c r="L88" s="52"/>
    </row>
    <row r="89" spans="1:12" s="109" customFormat="1" x14ac:dyDescent="0.2">
      <c r="A89" s="79">
        <v>44621</v>
      </c>
      <c r="B89" s="61">
        <v>173.44403908248418</v>
      </c>
      <c r="C89" s="61">
        <v>183.55580800908834</v>
      </c>
      <c r="D89" s="52"/>
      <c r="E89" s="52"/>
      <c r="F89" s="52"/>
      <c r="G89" s="52"/>
      <c r="H89" s="52"/>
      <c r="I89" s="52"/>
      <c r="J89" s="52"/>
      <c r="K89" s="52"/>
      <c r="L89" s="52"/>
    </row>
    <row r="90" spans="1:12" s="109" customFormat="1" x14ac:dyDescent="0.2">
      <c r="A90" s="79">
        <v>44652</v>
      </c>
      <c r="B90" s="61">
        <v>169.75971820354761</v>
      </c>
      <c r="C90" s="61">
        <v>187.61715421755184</v>
      </c>
      <c r="D90" s="52"/>
      <c r="E90" s="52"/>
      <c r="F90" s="52"/>
      <c r="G90" s="52"/>
      <c r="H90" s="52"/>
      <c r="I90" s="52"/>
      <c r="J90" s="52"/>
      <c r="K90" s="52"/>
      <c r="L90" s="52"/>
    </row>
    <row r="91" spans="1:12" s="109" customFormat="1" x14ac:dyDescent="0.2">
      <c r="A91" s="79">
        <v>44682</v>
      </c>
      <c r="B91" s="61">
        <v>185.22329852811674</v>
      </c>
      <c r="C91" s="61">
        <v>205.56660039761431</v>
      </c>
      <c r="D91" s="52"/>
      <c r="E91" s="52"/>
      <c r="F91" s="52"/>
      <c r="G91" s="52"/>
      <c r="H91" s="52"/>
      <c r="I91" s="52"/>
      <c r="J91" s="52"/>
      <c r="K91" s="52"/>
      <c r="L91" s="52"/>
    </row>
    <row r="92" spans="1:12" s="109" customFormat="1" x14ac:dyDescent="0.2">
      <c r="A92" s="79">
        <v>44713</v>
      </c>
      <c r="B92" s="61">
        <v>179.74420262506814</v>
      </c>
      <c r="C92" s="61">
        <v>191.87730758307299</v>
      </c>
      <c r="D92" s="52"/>
      <c r="E92" s="52"/>
      <c r="F92" s="52"/>
      <c r="G92" s="52"/>
      <c r="H92" s="52"/>
      <c r="I92" s="52"/>
      <c r="J92" s="52"/>
      <c r="K92" s="52"/>
      <c r="L92" s="52"/>
    </row>
    <row r="93" spans="1:12" s="109" customFormat="1" x14ac:dyDescent="0.2">
      <c r="A93" s="79">
        <v>44743</v>
      </c>
      <c r="B93" s="61">
        <v>187.97584601836709</v>
      </c>
      <c r="C93" s="61">
        <v>208.97472309003123</v>
      </c>
      <c r="D93" s="52"/>
      <c r="E93" s="52"/>
      <c r="F93" s="52"/>
      <c r="G93" s="52"/>
      <c r="H93" s="52"/>
      <c r="I93" s="52"/>
      <c r="J93" s="52"/>
      <c r="K93" s="52"/>
      <c r="L93" s="52"/>
    </row>
    <row r="94" spans="1:12" s="109" customFormat="1" x14ac:dyDescent="0.2">
      <c r="A94" s="79">
        <v>44774</v>
      </c>
      <c r="B94" s="61">
        <v>183.55432549167611</v>
      </c>
      <c r="C94" s="61">
        <v>205.68020448736155</v>
      </c>
      <c r="D94" s="52"/>
      <c r="E94" s="52"/>
      <c r="F94" s="52"/>
      <c r="G94" s="52"/>
      <c r="H94" s="52"/>
      <c r="I94" s="52"/>
      <c r="J94" s="52"/>
      <c r="K94" s="52"/>
      <c r="L94" s="52"/>
    </row>
    <row r="95" spans="1:12" s="109" customFormat="1" x14ac:dyDescent="0.2">
      <c r="A95" s="79">
        <v>44805</v>
      </c>
      <c r="B95" s="61">
        <v>168.3792510588334</v>
      </c>
      <c r="C95" s="61">
        <v>173.72905424595285</v>
      </c>
      <c r="D95" s="52"/>
      <c r="E95" s="52"/>
      <c r="F95" s="52"/>
      <c r="G95" s="52"/>
      <c r="H95" s="52"/>
      <c r="I95" s="52"/>
      <c r="J95" s="52"/>
      <c r="K95" s="52"/>
      <c r="L95" s="52"/>
    </row>
    <row r="96" spans="1:12" s="109" customFormat="1" x14ac:dyDescent="0.2">
      <c r="A96" s="79">
        <v>44835</v>
      </c>
      <c r="B96" s="61">
        <v>174.03027634503292</v>
      </c>
      <c r="C96" s="61">
        <v>177.22238000568021</v>
      </c>
      <c r="D96" s="52"/>
      <c r="E96" s="52"/>
      <c r="F96" s="52"/>
      <c r="G96" s="52"/>
      <c r="H96" s="52"/>
      <c r="I96" s="52"/>
      <c r="J96" s="52"/>
      <c r="K96" s="52"/>
      <c r="L96" s="52"/>
    </row>
    <row r="97" spans="1:12" s="109" customFormat="1" x14ac:dyDescent="0.2">
      <c r="A97" s="79">
        <v>44866</v>
      </c>
      <c r="B97" s="61">
        <v>163.3563970310731</v>
      </c>
      <c r="C97" s="61">
        <v>168.92928145413234</v>
      </c>
      <c r="D97" s="52"/>
      <c r="E97" s="52"/>
      <c r="F97" s="52"/>
      <c r="G97" s="52"/>
      <c r="H97" s="52"/>
      <c r="I97" s="52"/>
      <c r="J97" s="52"/>
      <c r="K97" s="52"/>
      <c r="L97" s="52"/>
    </row>
    <row r="98" spans="1:12" s="109" customFormat="1" x14ac:dyDescent="0.2">
      <c r="A98" s="79">
        <v>44896</v>
      </c>
      <c r="B98" s="61">
        <v>148.79859101773809</v>
      </c>
      <c r="C98" s="61">
        <v>148.594149389378</v>
      </c>
      <c r="D98" s="52"/>
      <c r="E98" s="52"/>
      <c r="F98" s="52"/>
      <c r="G98" s="52"/>
      <c r="H98" s="52"/>
      <c r="I98" s="52"/>
      <c r="J98" s="52"/>
      <c r="K98" s="52"/>
      <c r="L98" s="52"/>
    </row>
    <row r="99" spans="1:12" s="109" customFormat="1" x14ac:dyDescent="0.2">
      <c r="A99" s="79">
        <v>44927</v>
      </c>
      <c r="B99" s="61">
        <v>155.41242084958276</v>
      </c>
      <c r="C99" s="61">
        <v>149.90059642147116</v>
      </c>
      <c r="D99" s="52"/>
      <c r="E99" s="52"/>
      <c r="F99" s="52"/>
      <c r="G99" s="52"/>
      <c r="H99" s="52"/>
      <c r="I99" s="52"/>
      <c r="J99" s="52"/>
      <c r="K99" s="52"/>
      <c r="L99" s="52"/>
    </row>
    <row r="100" spans="1:12" s="109" customFormat="1" x14ac:dyDescent="0.2">
      <c r="A100" s="79">
        <v>44958</v>
      </c>
      <c r="B100" s="61">
        <v>153.84996016270389</v>
      </c>
      <c r="C100" s="61">
        <v>151.32064754331157</v>
      </c>
      <c r="D100" s="52"/>
      <c r="E100" s="52"/>
      <c r="F100" s="52"/>
      <c r="G100" s="52"/>
      <c r="H100" s="52"/>
      <c r="I100" s="52"/>
      <c r="J100" s="52"/>
      <c r="K100" s="52"/>
      <c r="L100" s="52"/>
    </row>
    <row r="101" spans="1:12" s="109" customFormat="1" x14ac:dyDescent="0.2">
      <c r="A101" s="79">
        <v>44986</v>
      </c>
      <c r="B101" s="61">
        <v>168.78517213905312</v>
      </c>
      <c r="C101" s="61">
        <v>174.77989207611475</v>
      </c>
      <c r="D101" s="52"/>
      <c r="E101" s="52"/>
      <c r="F101" s="52"/>
      <c r="G101" s="52"/>
      <c r="H101" s="52"/>
      <c r="I101" s="52"/>
      <c r="J101" s="52"/>
      <c r="K101" s="52"/>
      <c r="L101" s="52"/>
    </row>
    <row r="102" spans="1:12" s="52" customFormat="1" x14ac:dyDescent="0.2">
      <c r="A102" s="79">
        <v>45017</v>
      </c>
      <c r="B102" s="61">
        <v>165.98481989348764</v>
      </c>
      <c r="C102" s="61">
        <v>171.59897756319228</v>
      </c>
    </row>
    <row r="103" spans="1:12" s="52" customFormat="1" x14ac:dyDescent="0.2">
      <c r="A103" s="79">
        <v>45047</v>
      </c>
      <c r="B103" s="61">
        <v>175.70512014089823</v>
      </c>
      <c r="C103" s="61">
        <v>199.14796932689578</v>
      </c>
    </row>
    <row r="104" spans="1:12" s="52" customFormat="1" x14ac:dyDescent="0.2">
      <c r="A104" s="79">
        <v>45078</v>
      </c>
      <c r="B104" s="61">
        <v>175.35790665492516</v>
      </c>
      <c r="C104" s="61">
        <v>203.2661175802329</v>
      </c>
    </row>
    <row r="105" spans="1:12" s="52" customFormat="1" x14ac:dyDescent="0.2">
      <c r="A105" s="79">
        <v>45108</v>
      </c>
      <c r="B105" s="61">
        <v>169.84526355516417</v>
      </c>
      <c r="C105" s="61">
        <v>197.41550695825049</v>
      </c>
    </row>
    <row r="106" spans="1:12" s="52" customFormat="1" x14ac:dyDescent="0.2">
      <c r="A106" s="79">
        <v>45139</v>
      </c>
      <c r="B106" s="61">
        <v>162.75254749025035</v>
      </c>
      <c r="C106" s="61">
        <v>185.17466628798635</v>
      </c>
    </row>
    <row r="107" spans="1:12" s="52" customFormat="1" x14ac:dyDescent="0.2">
      <c r="A107" s="79">
        <v>45170</v>
      </c>
      <c r="B107" s="61">
        <v>166.09049356313164</v>
      </c>
      <c r="C107" s="61">
        <v>185.08946322067595</v>
      </c>
    </row>
    <row r="108" spans="1:12" s="52" customFormat="1" x14ac:dyDescent="0.2">
      <c r="A108" s="79">
        <v>45200</v>
      </c>
      <c r="B108" s="61">
        <v>163.48136033882668</v>
      </c>
      <c r="C108" s="61">
        <v>201.56205623402442</v>
      </c>
    </row>
    <row r="109" spans="1:12" s="52" customFormat="1" x14ac:dyDescent="0.2">
      <c r="A109" s="79">
        <v>45231</v>
      </c>
      <c r="B109" s="61">
        <v>150.32750450790456</v>
      </c>
      <c r="C109" s="61">
        <v>184.20903152513492</v>
      </c>
    </row>
    <row r="110" spans="1:12" s="52" customFormat="1" x14ac:dyDescent="0.2">
      <c r="A110" s="79">
        <v>45261</v>
      </c>
      <c r="B110" s="61">
        <v>148.61827483540907</v>
      </c>
      <c r="C110" s="61">
        <v>166.912808861119</v>
      </c>
    </row>
    <row r="111" spans="1:12" s="52" customFormat="1" x14ac:dyDescent="0.2">
      <c r="A111" s="79">
        <v>45292</v>
      </c>
      <c r="B111" s="61">
        <v>145.48328930263764</v>
      </c>
      <c r="C111" s="61">
        <v>157.54047145697245</v>
      </c>
    </row>
    <row r="112" spans="1:12" s="52" customFormat="1" x14ac:dyDescent="0.2">
      <c r="A112" s="79">
        <v>45323</v>
      </c>
      <c r="B112" s="61">
        <v>142.71229085419549</v>
      </c>
      <c r="C112" s="61">
        <v>161.94262993467765</v>
      </c>
    </row>
    <row r="113" spans="1:3" s="52" customFormat="1" x14ac:dyDescent="0.2">
      <c r="A113" s="79">
        <v>45352</v>
      </c>
      <c r="B113" s="61">
        <v>155.76382773514487</v>
      </c>
      <c r="C113" s="61">
        <v>182.02215279750072</v>
      </c>
    </row>
    <row r="114" spans="1:3" s="52" customFormat="1" x14ac:dyDescent="0.2">
      <c r="A114" s="79">
        <v>45383</v>
      </c>
      <c r="B114" s="61">
        <v>151.58971778420766</v>
      </c>
      <c r="C114" s="61">
        <v>178.21641579096848</v>
      </c>
    </row>
    <row r="115" spans="1:3" s="52" customFormat="1" x14ac:dyDescent="0.2">
      <c r="A115" s="79">
        <v>45413</v>
      </c>
      <c r="B115" s="61">
        <v>168.56711536042269</v>
      </c>
      <c r="C115" s="61">
        <v>216.21698381141721</v>
      </c>
    </row>
    <row r="116" spans="1:3" s="52" customFormat="1" x14ac:dyDescent="0.2">
      <c r="A116" s="79">
        <v>45444</v>
      </c>
      <c r="B116" s="61">
        <v>164.14559483373171</v>
      </c>
      <c r="C116" s="61">
        <v>210.11076398750356</v>
      </c>
    </row>
    <row r="117" spans="1:3" s="52" customFormat="1" x14ac:dyDescent="0.2">
      <c r="A117" s="79">
        <v>45474</v>
      </c>
      <c r="B117" s="61">
        <v>169.93080890678073</v>
      </c>
      <c r="C117" s="61">
        <v>227.40698665151945</v>
      </c>
    </row>
    <row r="118" spans="1:3" s="52" customFormat="1" x14ac:dyDescent="0.2">
      <c r="A118" s="79">
        <v>45505</v>
      </c>
      <c r="B118" s="61">
        <v>160.52920702813771</v>
      </c>
      <c r="C118" s="61">
        <v>286.76512354444759</v>
      </c>
    </row>
    <row r="119" spans="1:3" s="52" customFormat="1" x14ac:dyDescent="0.2">
      <c r="A119" s="79">
        <v>45536</v>
      </c>
      <c r="B119" s="61">
        <v>151.11083155113852</v>
      </c>
      <c r="C119" s="61">
        <v>203.15251349048566</v>
      </c>
    </row>
    <row r="120" spans="1:3" s="52" customFormat="1" x14ac:dyDescent="0.2">
      <c r="A120" s="79">
        <v>45566</v>
      </c>
      <c r="B120" s="61">
        <v>155.19604143078794</v>
      </c>
      <c r="C120" s="61">
        <v>195.48423743254756</v>
      </c>
    </row>
    <row r="121" spans="1:3" s="52" customFormat="1" x14ac:dyDescent="0.2">
      <c r="A121" s="79">
        <v>45597</v>
      </c>
      <c r="B121" s="61">
        <v>147.01471883255755</v>
      </c>
      <c r="C121" s="61">
        <v>181.76654359556943</v>
      </c>
    </row>
    <row r="122" spans="1:3" s="52" customFormat="1" x14ac:dyDescent="0.2">
      <c r="A122" s="79">
        <v>45627</v>
      </c>
      <c r="B122" s="61">
        <v>143.36813854992243</v>
      </c>
      <c r="C122" s="61">
        <v>164.04430559500142</v>
      </c>
    </row>
    <row r="123" spans="1:3" s="52" customFormat="1" x14ac:dyDescent="0.2">
      <c r="A123" s="79">
        <v>45658</v>
      </c>
      <c r="B123" s="61">
        <v>138.72604520484757</v>
      </c>
      <c r="C123" s="61">
        <v>172.64981539335417</v>
      </c>
    </row>
    <row r="124" spans="1:3" s="52" customFormat="1" x14ac:dyDescent="0.2">
      <c r="A124" s="79">
        <v>45689</v>
      </c>
      <c r="B124" s="61">
        <v>131.17205518513859</v>
      </c>
      <c r="C124" s="61">
        <v>163.24907696677082</v>
      </c>
    </row>
    <row r="125" spans="1:3" s="52" customFormat="1" x14ac:dyDescent="0.2">
      <c r="A125" s="81">
        <v>45717</v>
      </c>
      <c r="B125" s="82">
        <v>158.20354761605233</v>
      </c>
      <c r="C125" s="82">
        <v>197.24510082362966</v>
      </c>
    </row>
  </sheetData>
  <pageMargins left="0.70000000000000007" right="0.70000000000000007" top="0.75" bottom="0.75" header="0.30000000000000004" footer="0.30000000000000004"/>
  <pageSetup paperSize="0" scale="31"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2BB4-F16F-4C90-AFF5-E3AB7452A9CF}">
  <dimension ref="A1:O13"/>
  <sheetViews>
    <sheetView workbookViewId="0"/>
  </sheetViews>
  <sheetFormatPr defaultColWidth="12.28515625" defaultRowHeight="15" x14ac:dyDescent="0.25"/>
  <cols>
    <col min="1" max="1" width="54" style="50" customWidth="1"/>
    <col min="2" max="2" width="49.85546875" style="50" customWidth="1"/>
    <col min="3" max="3" width="22.7109375" style="50" customWidth="1"/>
    <col min="4" max="9" width="17" style="50" customWidth="1"/>
    <col min="10" max="11" width="22.7109375" style="50" customWidth="1"/>
    <col min="12" max="12" width="28.28515625" style="50" customWidth="1"/>
    <col min="13" max="13" width="25.85546875" style="50" customWidth="1"/>
    <col min="14" max="14" width="22.7109375" style="50" customWidth="1"/>
    <col min="15" max="15" width="12.28515625" style="50" customWidth="1"/>
    <col min="16" max="16384" width="12.28515625" style="50"/>
  </cols>
  <sheetData>
    <row r="1" spans="1:15" s="110" customFormat="1" ht="22.15" customHeight="1" x14ac:dyDescent="0.25">
      <c r="A1" s="46" t="s">
        <v>214</v>
      </c>
      <c r="B1" s="50"/>
      <c r="C1" s="50"/>
      <c r="D1" s="50"/>
      <c r="E1" s="50"/>
      <c r="F1" s="50"/>
      <c r="G1" s="50"/>
      <c r="H1" s="50"/>
      <c r="I1" s="50"/>
      <c r="J1" s="50"/>
      <c r="K1" s="50"/>
      <c r="L1" s="50"/>
      <c r="M1" s="50"/>
      <c r="N1" s="50"/>
      <c r="O1" s="50"/>
    </row>
    <row r="2" spans="1:15" s="110" customFormat="1" ht="22.15" customHeight="1" x14ac:dyDescent="0.25">
      <c r="A2" s="46" t="s">
        <v>215</v>
      </c>
      <c r="B2" s="50"/>
      <c r="C2" s="50"/>
      <c r="D2" s="50"/>
      <c r="E2" s="50"/>
      <c r="F2" s="50"/>
      <c r="G2" s="50"/>
      <c r="H2" s="50"/>
      <c r="I2" s="50"/>
      <c r="J2" s="50"/>
      <c r="K2" s="50"/>
      <c r="L2" s="50"/>
      <c r="M2" s="50"/>
      <c r="N2" s="50"/>
    </row>
    <row r="3" spans="1:15" s="110" customFormat="1" ht="19.899999999999999" customHeight="1" x14ac:dyDescent="0.2">
      <c r="A3" s="52" t="s">
        <v>152</v>
      </c>
      <c r="B3" s="52"/>
      <c r="C3" s="52"/>
      <c r="D3" s="52"/>
      <c r="E3" s="52"/>
      <c r="F3" s="52"/>
      <c r="G3" s="52"/>
      <c r="H3" s="52"/>
      <c r="I3" s="52"/>
      <c r="J3" s="52"/>
      <c r="K3" s="52"/>
      <c r="L3" s="52"/>
      <c r="M3" s="52"/>
      <c r="N3" s="52"/>
      <c r="O3" s="52"/>
    </row>
    <row r="4" spans="1:15" s="110" customFormat="1" ht="19.899999999999999" customHeight="1" x14ac:dyDescent="0.2">
      <c r="A4" s="52" t="s">
        <v>120</v>
      </c>
      <c r="B4" s="52"/>
      <c r="C4" s="52"/>
      <c r="D4" s="52"/>
      <c r="E4" s="52"/>
      <c r="F4" s="52"/>
      <c r="G4" s="52"/>
      <c r="H4" s="52"/>
      <c r="I4" s="52"/>
      <c r="J4" s="52"/>
      <c r="K4" s="52"/>
      <c r="L4" s="52"/>
      <c r="M4" s="52"/>
      <c r="N4" s="52"/>
      <c r="O4" s="52"/>
    </row>
    <row r="5" spans="1:15" s="52" customFormat="1" ht="48" customHeight="1" x14ac:dyDescent="0.25">
      <c r="A5" s="55" t="s">
        <v>216</v>
      </c>
      <c r="B5" s="55" t="s">
        <v>198</v>
      </c>
      <c r="C5" s="56" t="s">
        <v>217</v>
      </c>
      <c r="D5" s="84"/>
      <c r="E5" s="84"/>
      <c r="F5" s="84"/>
      <c r="G5" s="84"/>
      <c r="H5" s="84"/>
      <c r="I5" s="84"/>
      <c r="J5" s="84"/>
      <c r="K5" s="84"/>
      <c r="L5" s="84"/>
      <c r="M5" s="84"/>
      <c r="N5" s="84"/>
      <c r="O5" s="84"/>
    </row>
    <row r="6" spans="1:15" s="52" customFormat="1" x14ac:dyDescent="0.2">
      <c r="A6" s="52" t="s">
        <v>218</v>
      </c>
      <c r="B6" s="52" t="s">
        <v>219</v>
      </c>
      <c r="C6" s="60">
        <v>10.087912475114956</v>
      </c>
      <c r="D6" s="61"/>
      <c r="E6" s="61"/>
      <c r="F6" s="61"/>
      <c r="G6" s="61"/>
      <c r="H6" s="61"/>
      <c r="I6" s="61"/>
      <c r="J6" s="61"/>
      <c r="K6" s="61"/>
      <c r="L6" s="61"/>
      <c r="M6" s="61"/>
      <c r="N6" s="61"/>
      <c r="O6" s="61"/>
    </row>
    <row r="7" spans="1:15" s="52" customFormat="1" x14ac:dyDescent="0.2">
      <c r="A7" s="52" t="s">
        <v>218</v>
      </c>
      <c r="B7" s="52" t="s">
        <v>220</v>
      </c>
      <c r="C7" s="60">
        <v>5.8062429241468543</v>
      </c>
      <c r="D7" s="61"/>
      <c r="E7" s="61"/>
      <c r="F7" s="61"/>
      <c r="G7" s="61"/>
      <c r="H7" s="61"/>
      <c r="I7" s="61"/>
      <c r="J7" s="61"/>
      <c r="K7" s="61"/>
      <c r="L7" s="61"/>
      <c r="M7" s="61"/>
      <c r="N7" s="61"/>
      <c r="O7" s="61"/>
    </row>
    <row r="8" spans="1:15" s="52" customFormat="1" x14ac:dyDescent="0.2">
      <c r="A8" s="52" t="s">
        <v>218</v>
      </c>
      <c r="B8" s="52" t="s">
        <v>160</v>
      </c>
      <c r="C8" s="60">
        <v>4.1652204095800069</v>
      </c>
      <c r="D8" s="61"/>
      <c r="E8" s="61"/>
      <c r="F8" s="61"/>
      <c r="G8" s="61"/>
      <c r="H8" s="61"/>
      <c r="I8" s="61"/>
      <c r="J8" s="61"/>
      <c r="K8" s="61"/>
      <c r="L8" s="61"/>
      <c r="M8" s="61"/>
      <c r="N8" s="61"/>
      <c r="O8" s="61"/>
    </row>
    <row r="9" spans="1:15" s="52" customFormat="1" x14ac:dyDescent="0.2">
      <c r="A9" s="52" t="s">
        <v>221</v>
      </c>
      <c r="B9" s="52" t="s">
        <v>219</v>
      </c>
      <c r="C9" s="60">
        <v>3.3096890852163781</v>
      </c>
      <c r="D9" s="61"/>
      <c r="E9" s="61"/>
      <c r="F9" s="61"/>
      <c r="G9" s="61"/>
      <c r="H9" s="61"/>
      <c r="I9" s="61"/>
      <c r="J9" s="61"/>
      <c r="K9" s="61"/>
      <c r="L9" s="61"/>
      <c r="M9" s="61"/>
      <c r="N9" s="61"/>
      <c r="O9" s="61"/>
    </row>
    <row r="10" spans="1:15" s="52" customFormat="1" x14ac:dyDescent="0.2">
      <c r="A10" s="52" t="s">
        <v>221</v>
      </c>
      <c r="B10" s="52" t="s">
        <v>220</v>
      </c>
      <c r="C10" s="60">
        <v>4.5604076630329615</v>
      </c>
      <c r="D10" s="61"/>
      <c r="E10" s="61"/>
      <c r="F10" s="61"/>
      <c r="G10" s="61"/>
      <c r="H10" s="61"/>
      <c r="I10" s="61"/>
      <c r="J10" s="61"/>
      <c r="K10" s="61"/>
      <c r="L10" s="61"/>
      <c r="M10" s="61"/>
      <c r="N10" s="61"/>
      <c r="O10" s="61"/>
    </row>
    <row r="11" spans="1:15" s="52" customFormat="1" x14ac:dyDescent="0.2">
      <c r="A11" s="101" t="s">
        <v>221</v>
      </c>
      <c r="B11" s="101" t="s">
        <v>160</v>
      </c>
      <c r="C11" s="103">
        <v>4.7135138100331879</v>
      </c>
      <c r="D11" s="61"/>
      <c r="E11" s="61"/>
      <c r="F11" s="61"/>
      <c r="G11" s="61"/>
      <c r="H11" s="61"/>
      <c r="I11" s="61"/>
      <c r="J11" s="61"/>
      <c r="K11" s="61"/>
      <c r="L11" s="61"/>
      <c r="M11" s="61"/>
      <c r="N11" s="61"/>
      <c r="O11" s="61"/>
    </row>
    <row r="13" spans="1:15" x14ac:dyDescent="0.25">
      <c r="A13" s="57"/>
    </row>
  </sheetData>
  <pageMargins left="0.70000000000000007" right="0.70000000000000007" top="0.75" bottom="0.75" header="0.30000000000000004" footer="0.30000000000000004"/>
  <pageSetup paperSize="0" scale="25"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D62AE-28FD-47C2-B3D8-9005A96B22F0}">
  <dimension ref="A1:O13"/>
  <sheetViews>
    <sheetView workbookViewId="0"/>
  </sheetViews>
  <sheetFormatPr defaultColWidth="12.28515625" defaultRowHeight="15" x14ac:dyDescent="0.25"/>
  <cols>
    <col min="1" max="1" width="31.85546875" style="50" customWidth="1"/>
    <col min="2" max="2" width="35.42578125" style="50" customWidth="1"/>
    <col min="3" max="4" width="22.7109375" style="50" customWidth="1"/>
    <col min="5" max="5" width="23.28515625" style="50" customWidth="1"/>
    <col min="6" max="6" width="24.28515625" style="50" customWidth="1"/>
    <col min="7" max="11" width="22.7109375" style="50" customWidth="1"/>
    <col min="12" max="12" width="28.28515625" style="50" customWidth="1"/>
    <col min="13" max="13" width="25.85546875" style="50" customWidth="1"/>
    <col min="14" max="14" width="22.7109375" style="50" customWidth="1"/>
    <col min="15" max="15" width="12.28515625" style="50" customWidth="1"/>
    <col min="16" max="16384" width="12.28515625" style="50"/>
  </cols>
  <sheetData>
    <row r="1" spans="1:15" s="111" customFormat="1" ht="22.15" customHeight="1" x14ac:dyDescent="0.25">
      <c r="A1" s="46" t="s">
        <v>222</v>
      </c>
      <c r="B1" s="50"/>
      <c r="C1" s="50"/>
      <c r="D1" s="50"/>
      <c r="E1" s="50"/>
      <c r="F1" s="50"/>
      <c r="G1" s="50"/>
      <c r="H1" s="50"/>
      <c r="I1" s="50"/>
      <c r="J1" s="50"/>
      <c r="K1" s="50"/>
      <c r="L1" s="50"/>
      <c r="M1" s="50"/>
      <c r="N1" s="50"/>
      <c r="O1" s="50"/>
    </row>
    <row r="2" spans="1:15" s="111" customFormat="1" ht="22.15" customHeight="1" x14ac:dyDescent="0.25">
      <c r="A2" s="46" t="s">
        <v>223</v>
      </c>
      <c r="B2" s="50"/>
      <c r="C2" s="50"/>
      <c r="D2" s="50"/>
      <c r="E2" s="50"/>
      <c r="F2" s="50"/>
      <c r="G2" s="50"/>
      <c r="H2" s="50"/>
      <c r="I2" s="50"/>
      <c r="J2" s="50"/>
      <c r="K2" s="50"/>
      <c r="L2" s="50"/>
      <c r="M2" s="50"/>
      <c r="N2" s="50"/>
      <c r="O2" s="50"/>
    </row>
    <row r="3" spans="1:15" s="111" customFormat="1" ht="19.899999999999999" customHeight="1" x14ac:dyDescent="0.2">
      <c r="A3" s="52" t="s">
        <v>152</v>
      </c>
      <c r="B3" s="52"/>
      <c r="C3" s="52"/>
      <c r="D3" s="52"/>
      <c r="E3" s="52"/>
      <c r="F3" s="52"/>
      <c r="G3" s="52"/>
      <c r="H3" s="52"/>
      <c r="I3" s="52"/>
      <c r="J3" s="52"/>
      <c r="K3" s="52"/>
      <c r="L3" s="52"/>
      <c r="M3" s="52"/>
      <c r="N3" s="52"/>
      <c r="O3" s="52"/>
    </row>
    <row r="4" spans="1:15" s="111" customFormat="1" ht="19.899999999999999" customHeight="1" x14ac:dyDescent="0.2">
      <c r="A4" s="52" t="s">
        <v>120</v>
      </c>
      <c r="B4" s="52"/>
      <c r="C4" s="52"/>
      <c r="D4" s="52"/>
      <c r="E4" s="52"/>
      <c r="F4" s="52"/>
      <c r="G4" s="52"/>
      <c r="H4" s="52"/>
      <c r="I4" s="52"/>
      <c r="J4" s="52"/>
      <c r="K4" s="52"/>
      <c r="L4" s="52"/>
      <c r="M4" s="52"/>
      <c r="N4" s="52"/>
      <c r="O4" s="52"/>
    </row>
    <row r="5" spans="1:15" s="52" customFormat="1" ht="42.75" customHeight="1" x14ac:dyDescent="0.25">
      <c r="A5" s="55" t="s">
        <v>216</v>
      </c>
      <c r="B5" s="55" t="s">
        <v>198</v>
      </c>
      <c r="C5" s="56" t="s">
        <v>217</v>
      </c>
      <c r="D5" s="84"/>
      <c r="E5" s="84"/>
      <c r="F5" s="84"/>
      <c r="G5" s="84"/>
      <c r="H5" s="84"/>
      <c r="I5" s="84"/>
      <c r="J5" s="84"/>
      <c r="K5" s="84"/>
      <c r="L5" s="84"/>
      <c r="M5" s="84"/>
      <c r="N5" s="84"/>
      <c r="O5" s="84"/>
    </row>
    <row r="6" spans="1:15" s="52" customFormat="1" x14ac:dyDescent="0.2">
      <c r="A6" s="52" t="s">
        <v>224</v>
      </c>
      <c r="B6" s="52" t="s">
        <v>160</v>
      </c>
      <c r="C6" s="60">
        <v>3.7909018355945729</v>
      </c>
      <c r="D6" s="61"/>
      <c r="E6" s="61"/>
      <c r="F6" s="61"/>
      <c r="G6" s="61"/>
      <c r="H6" s="61"/>
      <c r="I6" s="61"/>
      <c r="J6" s="61"/>
      <c r="K6" s="61"/>
      <c r="L6" s="61"/>
      <c r="M6" s="61"/>
      <c r="N6" s="61"/>
      <c r="O6" s="61"/>
    </row>
    <row r="7" spans="1:15" s="52" customFormat="1" x14ac:dyDescent="0.2">
      <c r="A7" s="52" t="s">
        <v>224</v>
      </c>
      <c r="B7" s="52" t="s">
        <v>201</v>
      </c>
      <c r="C7" s="60">
        <v>11.107370062554271</v>
      </c>
      <c r="D7" s="61"/>
      <c r="E7" s="61"/>
      <c r="F7" s="61"/>
      <c r="G7" s="61"/>
      <c r="H7" s="61"/>
      <c r="I7" s="61"/>
      <c r="J7" s="61"/>
      <c r="K7" s="61"/>
      <c r="L7" s="61"/>
      <c r="M7" s="61"/>
      <c r="N7" s="61"/>
      <c r="O7" s="61"/>
    </row>
    <row r="8" spans="1:15" s="52" customFormat="1" x14ac:dyDescent="0.2">
      <c r="A8" s="52" t="s">
        <v>224</v>
      </c>
      <c r="B8" s="52" t="s">
        <v>192</v>
      </c>
      <c r="C8" s="60">
        <v>5.8618763161287548</v>
      </c>
      <c r="D8" s="61"/>
      <c r="E8" s="61"/>
      <c r="F8" s="61"/>
      <c r="G8" s="61"/>
      <c r="H8" s="61"/>
      <c r="I8" s="61"/>
      <c r="J8" s="61"/>
      <c r="K8" s="61"/>
      <c r="L8" s="61"/>
      <c r="M8" s="61"/>
      <c r="N8" s="61"/>
      <c r="O8" s="61"/>
    </row>
    <row r="9" spans="1:15" s="52" customFormat="1" x14ac:dyDescent="0.2">
      <c r="A9" s="52" t="s">
        <v>225</v>
      </c>
      <c r="B9" s="52" t="s">
        <v>160</v>
      </c>
      <c r="C9" s="60">
        <v>4.6480412647887865</v>
      </c>
      <c r="D9" s="61"/>
      <c r="E9" s="61"/>
      <c r="F9" s="61"/>
      <c r="G9" s="61"/>
      <c r="H9" s="61"/>
      <c r="I9" s="61"/>
      <c r="J9" s="61"/>
      <c r="K9" s="61"/>
      <c r="L9" s="61"/>
      <c r="M9" s="61"/>
      <c r="N9" s="61"/>
      <c r="O9" s="61"/>
    </row>
    <row r="10" spans="1:15" s="52" customFormat="1" x14ac:dyDescent="0.2">
      <c r="A10" s="52" t="s">
        <v>225</v>
      </c>
      <c r="B10" s="52" t="s">
        <v>201</v>
      </c>
      <c r="C10" s="60">
        <v>7.3859364421627767</v>
      </c>
      <c r="D10" s="61"/>
      <c r="E10" s="61"/>
      <c r="F10" s="61"/>
      <c r="G10" s="61"/>
      <c r="H10" s="61"/>
      <c r="I10" s="61"/>
      <c r="J10" s="61"/>
      <c r="K10" s="61"/>
      <c r="L10" s="61"/>
      <c r="M10" s="61"/>
      <c r="N10" s="61"/>
      <c r="O10" s="61"/>
    </row>
    <row r="11" spans="1:15" s="52" customFormat="1" x14ac:dyDescent="0.2">
      <c r="A11" s="101" t="s">
        <v>225</v>
      </c>
      <c r="B11" s="101" t="s">
        <v>192</v>
      </c>
      <c r="C11" s="103">
        <v>6.0594937007264118</v>
      </c>
      <c r="D11" s="61"/>
      <c r="E11" s="61"/>
      <c r="F11" s="61"/>
      <c r="G11" s="61"/>
      <c r="H11" s="61"/>
      <c r="I11" s="61"/>
      <c r="J11" s="61"/>
      <c r="K11" s="61"/>
      <c r="L11" s="61"/>
      <c r="M11" s="61"/>
      <c r="N11" s="61"/>
      <c r="O11" s="61"/>
    </row>
    <row r="12" spans="1:15" x14ac:dyDescent="0.25">
      <c r="C12" s="112"/>
    </row>
    <row r="13" spans="1:15" x14ac:dyDescent="0.25">
      <c r="A13" s="57"/>
    </row>
  </sheetData>
  <pageMargins left="0.70000000000000007" right="0.70000000000000007" top="0.75" bottom="0.75" header="0.30000000000000004" footer="0.30000000000000004"/>
  <pageSetup paperSize="0" scale="26"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29FA-2E7A-4264-AC7C-C987BA977C56}">
  <dimension ref="A1:O13"/>
  <sheetViews>
    <sheetView workbookViewId="0"/>
  </sheetViews>
  <sheetFormatPr defaultColWidth="12.28515625" defaultRowHeight="15" x14ac:dyDescent="0.25"/>
  <cols>
    <col min="1" max="1" width="36" style="50" customWidth="1"/>
    <col min="2" max="2" width="19.140625" style="50" customWidth="1"/>
    <col min="3" max="3" width="17.7109375" style="50" customWidth="1"/>
    <col min="4" max="4" width="24.28515625" style="50" customWidth="1"/>
    <col min="5" max="6" width="18.42578125" style="50" customWidth="1"/>
    <col min="7" max="7" width="23.7109375" style="50" customWidth="1"/>
    <col min="8" max="9" width="18.42578125" style="50" customWidth="1"/>
    <col min="10" max="10" width="12.28515625" style="50" customWidth="1"/>
    <col min="11" max="16384" width="12.28515625" style="50"/>
  </cols>
  <sheetData>
    <row r="1" spans="1:15" s="113" customFormat="1" ht="22.15" customHeight="1" x14ac:dyDescent="0.25">
      <c r="A1" s="46" t="s">
        <v>226</v>
      </c>
      <c r="B1" s="50"/>
      <c r="C1" s="50"/>
      <c r="D1" s="50"/>
      <c r="E1" s="50"/>
      <c r="F1" s="50"/>
      <c r="G1" s="50"/>
      <c r="H1" s="50"/>
    </row>
    <row r="2" spans="1:15" s="113" customFormat="1" ht="22.15" customHeight="1" x14ac:dyDescent="0.25">
      <c r="A2" s="46" t="s">
        <v>227</v>
      </c>
      <c r="B2" s="50"/>
      <c r="C2" s="50"/>
      <c r="D2" s="50"/>
      <c r="E2" s="50"/>
      <c r="F2" s="50"/>
      <c r="G2" s="50"/>
      <c r="H2" s="50"/>
      <c r="I2" s="50"/>
      <c r="J2" s="50"/>
      <c r="K2" s="50"/>
      <c r="L2" s="50"/>
      <c r="M2" s="50"/>
      <c r="N2" s="50"/>
      <c r="O2" s="50"/>
    </row>
    <row r="3" spans="1:15" s="113" customFormat="1" ht="19.899999999999999" customHeight="1" x14ac:dyDescent="0.2">
      <c r="A3" s="52" t="s">
        <v>152</v>
      </c>
      <c r="B3" s="52"/>
      <c r="C3" s="52"/>
      <c r="D3" s="52"/>
      <c r="E3" s="52"/>
      <c r="F3" s="52"/>
      <c r="G3" s="52"/>
      <c r="H3" s="52"/>
    </row>
    <row r="4" spans="1:15" s="113" customFormat="1" ht="19.899999999999999" customHeight="1" x14ac:dyDescent="0.2">
      <c r="A4" s="52" t="s">
        <v>120</v>
      </c>
      <c r="B4" s="52"/>
      <c r="C4" s="52"/>
      <c r="D4" s="52"/>
      <c r="E4" s="52"/>
      <c r="F4" s="52"/>
      <c r="G4" s="52"/>
      <c r="H4" s="52"/>
    </row>
    <row r="5" spans="1:15" s="52" customFormat="1" ht="24" customHeight="1" x14ac:dyDescent="0.25">
      <c r="A5" s="55" t="s">
        <v>198</v>
      </c>
      <c r="B5" s="56" t="s">
        <v>138</v>
      </c>
      <c r="C5" s="56" t="s">
        <v>228</v>
      </c>
      <c r="D5" s="56" t="s">
        <v>141</v>
      </c>
      <c r="E5" s="56" t="s">
        <v>142</v>
      </c>
      <c r="F5" s="56" t="s">
        <v>143</v>
      </c>
      <c r="G5" s="56" t="s">
        <v>229</v>
      </c>
      <c r="H5" s="84"/>
    </row>
    <row r="6" spans="1:15" s="52" customFormat="1" x14ac:dyDescent="0.2">
      <c r="A6" s="52" t="s">
        <v>160</v>
      </c>
      <c r="B6" s="60">
        <v>4.3464762496119214</v>
      </c>
      <c r="C6" s="60">
        <v>2.8301886792452828</v>
      </c>
      <c r="D6" s="60">
        <v>4</v>
      </c>
      <c r="E6" s="60">
        <v>1.4749262536873156</v>
      </c>
      <c r="F6" s="60">
        <v>2.0408163265306123</v>
      </c>
      <c r="G6" s="60">
        <v>4.6480412647887865</v>
      </c>
    </row>
    <row r="7" spans="1:15" s="52" customFormat="1" x14ac:dyDescent="0.2">
      <c r="A7" s="52" t="s">
        <v>201</v>
      </c>
      <c r="B7" s="60">
        <v>10.398756617611346</v>
      </c>
      <c r="C7" s="60">
        <v>7.6577840112201967</v>
      </c>
      <c r="D7" s="60">
        <v>19.21984940130848</v>
      </c>
      <c r="E7" s="60">
        <v>3.6303630363036303</v>
      </c>
      <c r="F7" s="60">
        <v>5.8469475494411007</v>
      </c>
      <c r="G7" s="60">
        <v>7.3859364421627767</v>
      </c>
    </row>
    <row r="8" spans="1:15" s="52" customFormat="1" x14ac:dyDescent="0.2">
      <c r="A8" s="101" t="s">
        <v>192</v>
      </c>
      <c r="B8" s="103">
        <v>6.59253375694996</v>
      </c>
      <c r="C8" s="103">
        <v>3.9408866995073892</v>
      </c>
      <c r="D8" s="103">
        <v>7.3555166374781082</v>
      </c>
      <c r="E8" s="103">
        <v>2.0022883295194509</v>
      </c>
      <c r="F8" s="103">
        <v>2.5682182985553772</v>
      </c>
      <c r="G8" s="103">
        <v>6.0594937007264118</v>
      </c>
    </row>
    <row r="9" spans="1:15" x14ac:dyDescent="0.25">
      <c r="B9" s="78"/>
      <c r="C9" s="78"/>
      <c r="D9" s="78"/>
      <c r="E9" s="78"/>
      <c r="F9" s="78"/>
      <c r="G9" s="78"/>
    </row>
    <row r="10" spans="1:15" x14ac:dyDescent="0.25">
      <c r="B10" s="78"/>
      <c r="C10" s="78"/>
      <c r="D10" s="78"/>
      <c r="E10" s="78"/>
      <c r="F10" s="78"/>
      <c r="G10" s="78"/>
    </row>
    <row r="11" spans="1:15" x14ac:dyDescent="0.25">
      <c r="B11" s="78"/>
      <c r="C11" s="78"/>
      <c r="D11" s="78"/>
      <c r="E11" s="78"/>
      <c r="F11" s="78"/>
      <c r="G11" s="78"/>
    </row>
    <row r="12" spans="1:15" x14ac:dyDescent="0.25">
      <c r="B12" s="78"/>
      <c r="C12" s="78"/>
      <c r="D12" s="78"/>
      <c r="E12" s="78"/>
      <c r="F12" s="78"/>
      <c r="G12" s="78"/>
    </row>
    <row r="13" spans="1:15" x14ac:dyDescent="0.25">
      <c r="A13" s="57"/>
    </row>
  </sheetData>
  <pageMargins left="0.70000000000000007" right="0.70000000000000007" top="0.75" bottom="0.75" header="0.30000000000000004" footer="0.30000000000000004"/>
  <pageSetup paperSize="0" scale="36"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D936-C9F0-46C5-B25B-3716A87EED06}">
  <dimension ref="A1:O13"/>
  <sheetViews>
    <sheetView workbookViewId="0"/>
  </sheetViews>
  <sheetFormatPr defaultColWidth="12.28515625" defaultRowHeight="15" x14ac:dyDescent="0.25"/>
  <cols>
    <col min="1" max="1" width="47.140625" style="50" customWidth="1"/>
    <col min="2" max="2" width="24.85546875" style="50" customWidth="1"/>
    <col min="3" max="3" width="30" style="50" customWidth="1"/>
    <col min="4" max="9" width="18.42578125" style="50" customWidth="1"/>
    <col min="10" max="10" width="12.28515625" style="50" customWidth="1"/>
    <col min="11" max="16384" width="12.28515625" style="50"/>
  </cols>
  <sheetData>
    <row r="1" spans="1:15" s="114" customFormat="1" ht="22.15" customHeight="1" x14ac:dyDescent="0.25">
      <c r="A1" s="46" t="s">
        <v>230</v>
      </c>
      <c r="B1" s="50"/>
      <c r="C1" s="50"/>
      <c r="D1" s="50"/>
      <c r="E1" s="50"/>
      <c r="F1" s="50"/>
      <c r="G1" s="50"/>
      <c r="H1" s="50"/>
    </row>
    <row r="2" spans="1:15" s="114" customFormat="1" ht="22.15" customHeight="1" x14ac:dyDescent="0.25">
      <c r="A2" s="46" t="s">
        <v>231</v>
      </c>
      <c r="B2" s="50"/>
      <c r="C2" s="50"/>
      <c r="D2" s="50"/>
      <c r="E2" s="50"/>
      <c r="F2" s="50"/>
      <c r="G2" s="50"/>
      <c r="H2" s="50"/>
      <c r="I2" s="50"/>
      <c r="J2" s="50"/>
      <c r="K2" s="50"/>
      <c r="L2" s="50"/>
      <c r="M2" s="50"/>
      <c r="N2" s="50"/>
      <c r="O2" s="50"/>
    </row>
    <row r="3" spans="1:15" s="114" customFormat="1" ht="19.899999999999999" customHeight="1" x14ac:dyDescent="0.2">
      <c r="A3" s="52" t="s">
        <v>152</v>
      </c>
      <c r="B3" s="52"/>
      <c r="C3" s="52"/>
      <c r="D3" s="52"/>
      <c r="E3" s="52"/>
      <c r="F3" s="52"/>
      <c r="G3" s="52"/>
      <c r="H3" s="52"/>
    </row>
    <row r="4" spans="1:15" s="114" customFormat="1" ht="19.899999999999999" customHeight="1" x14ac:dyDescent="0.2">
      <c r="A4" s="52" t="s">
        <v>120</v>
      </c>
      <c r="B4" s="52"/>
      <c r="C4" s="52"/>
      <c r="D4" s="52"/>
      <c r="E4" s="52"/>
      <c r="F4" s="52"/>
      <c r="G4" s="52"/>
      <c r="H4" s="52"/>
    </row>
    <row r="5" spans="1:15" s="52" customFormat="1" ht="27.6" customHeight="1" x14ac:dyDescent="0.25">
      <c r="A5" s="55" t="s">
        <v>232</v>
      </c>
      <c r="B5" s="56" t="s">
        <v>224</v>
      </c>
      <c r="C5" s="56" t="s">
        <v>233</v>
      </c>
      <c r="D5" s="84"/>
      <c r="E5" s="84"/>
      <c r="F5" s="84"/>
      <c r="G5" s="84"/>
      <c r="H5" s="84"/>
    </row>
    <row r="6" spans="1:15" s="52" customFormat="1" x14ac:dyDescent="0.2">
      <c r="A6" s="52" t="s">
        <v>160</v>
      </c>
      <c r="B6" s="61">
        <v>22</v>
      </c>
      <c r="C6" s="61">
        <v>8</v>
      </c>
      <c r="D6" s="61"/>
      <c r="E6" s="61"/>
      <c r="F6" s="61"/>
      <c r="G6" s="61"/>
    </row>
    <row r="7" spans="1:15" s="52" customFormat="1" x14ac:dyDescent="0.2">
      <c r="A7" s="52" t="s">
        <v>201</v>
      </c>
      <c r="B7" s="61">
        <v>34</v>
      </c>
      <c r="C7" s="61">
        <v>14</v>
      </c>
      <c r="D7" s="61"/>
      <c r="E7" s="61"/>
      <c r="F7" s="61"/>
      <c r="G7" s="61"/>
    </row>
    <row r="8" spans="1:15" s="52" customFormat="1" x14ac:dyDescent="0.2">
      <c r="A8" s="101" t="s">
        <v>192</v>
      </c>
      <c r="B8" s="82">
        <v>40</v>
      </c>
      <c r="C8" s="82">
        <v>23</v>
      </c>
      <c r="D8" s="61"/>
      <c r="E8" s="61"/>
      <c r="F8" s="61"/>
      <c r="G8" s="61"/>
    </row>
    <row r="9" spans="1:15" x14ac:dyDescent="0.25">
      <c r="B9" s="78"/>
      <c r="C9" s="78"/>
      <c r="D9" s="78"/>
      <c r="E9" s="78"/>
      <c r="F9" s="78"/>
      <c r="G9" s="78"/>
    </row>
    <row r="10" spans="1:15" x14ac:dyDescent="0.25">
      <c r="B10" s="78"/>
      <c r="C10" s="78"/>
      <c r="D10" s="78"/>
      <c r="E10" s="78"/>
      <c r="F10" s="78"/>
      <c r="G10" s="78"/>
    </row>
    <row r="11" spans="1:15" x14ac:dyDescent="0.25">
      <c r="B11" s="78"/>
      <c r="C11" s="78"/>
      <c r="D11" s="78"/>
      <c r="E11" s="78"/>
      <c r="F11" s="78"/>
      <c r="G11" s="78"/>
    </row>
    <row r="12" spans="1:15" x14ac:dyDescent="0.25">
      <c r="B12" s="78"/>
      <c r="C12" s="78"/>
      <c r="D12" s="78"/>
      <c r="E12" s="78"/>
      <c r="F12" s="78"/>
      <c r="G12" s="78"/>
    </row>
    <row r="13" spans="1:15" x14ac:dyDescent="0.25">
      <c r="A13" s="57"/>
    </row>
  </sheetData>
  <pageMargins left="0.70000000000000007" right="0.70000000000000007" top="0.75" bottom="0.75" header="0.30000000000000004" footer="0.30000000000000004"/>
  <pageSetup paperSize="0" scale="33"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7147-91F4-450E-A8B6-D56C31AF3B77}">
  <dimension ref="A1:O11"/>
  <sheetViews>
    <sheetView workbookViewId="0"/>
  </sheetViews>
  <sheetFormatPr defaultColWidth="12.28515625" defaultRowHeight="15" x14ac:dyDescent="0.2"/>
  <cols>
    <col min="1" max="1" width="16.5703125" style="115" customWidth="1"/>
    <col min="2" max="2" width="64.85546875" style="115" customWidth="1"/>
    <col min="3" max="7" width="21.42578125" style="115" customWidth="1"/>
    <col min="8" max="10" width="20" style="115" customWidth="1"/>
    <col min="11" max="11" width="12.28515625" style="115" customWidth="1"/>
    <col min="12" max="16384" width="12.28515625" style="115"/>
  </cols>
  <sheetData>
    <row r="1" spans="1:15" ht="22.15" customHeight="1" x14ac:dyDescent="0.25">
      <c r="A1" s="46" t="s">
        <v>234</v>
      </c>
    </row>
    <row r="2" spans="1:15" ht="22.15" customHeight="1" x14ac:dyDescent="0.25">
      <c r="A2" s="46" t="s">
        <v>235</v>
      </c>
      <c r="B2" s="50"/>
      <c r="C2" s="50"/>
      <c r="D2" s="50"/>
      <c r="E2" s="50"/>
      <c r="F2" s="50"/>
      <c r="G2" s="50"/>
      <c r="H2" s="50"/>
      <c r="I2" s="50"/>
      <c r="J2" s="50"/>
      <c r="K2" s="50"/>
      <c r="L2" s="50"/>
      <c r="M2" s="50"/>
      <c r="N2" s="50"/>
      <c r="O2" s="50"/>
    </row>
    <row r="3" spans="1:15" ht="19.899999999999999" customHeight="1" x14ac:dyDescent="0.2">
      <c r="A3" s="115" t="s">
        <v>152</v>
      </c>
    </row>
    <row r="4" spans="1:15" ht="19.899999999999999" customHeight="1" x14ac:dyDescent="0.2">
      <c r="A4" s="115" t="s">
        <v>120</v>
      </c>
    </row>
    <row r="5" spans="1:15" ht="49.15" customHeight="1" x14ac:dyDescent="0.25">
      <c r="A5" s="116" t="s">
        <v>86</v>
      </c>
      <c r="B5" s="117" t="s">
        <v>236</v>
      </c>
      <c r="C5" s="118" t="s">
        <v>237</v>
      </c>
      <c r="D5" s="118" t="s">
        <v>238</v>
      </c>
      <c r="E5" s="118" t="s">
        <v>239</v>
      </c>
      <c r="F5" s="118" t="s">
        <v>240</v>
      </c>
      <c r="G5" s="118" t="s">
        <v>241</v>
      </c>
    </row>
    <row r="6" spans="1:15" x14ac:dyDescent="0.2">
      <c r="A6" s="115" t="s">
        <v>91</v>
      </c>
      <c r="B6" s="119" t="s">
        <v>92</v>
      </c>
      <c r="C6" s="119">
        <v>22.091923586154721</v>
      </c>
      <c r="D6" s="119">
        <v>29.941365613769623</v>
      </c>
      <c r="E6" s="119">
        <v>35.993947418195575</v>
      </c>
      <c r="F6" s="119">
        <v>7.1685265746169851</v>
      </c>
      <c r="G6" s="119">
        <v>4.8042368072630985</v>
      </c>
    </row>
    <row r="7" spans="1:15" x14ac:dyDescent="0.2">
      <c r="A7" s="115" t="s">
        <v>97</v>
      </c>
      <c r="B7" s="119" t="s">
        <v>98</v>
      </c>
      <c r="C7" s="119">
        <v>36.885245901639344</v>
      </c>
      <c r="D7" s="119">
        <v>14.890710382513662</v>
      </c>
      <c r="E7" s="119">
        <v>36.475409836065573</v>
      </c>
      <c r="F7" s="119">
        <v>5.1912568306010929</v>
      </c>
      <c r="G7" s="119">
        <v>6.557377049180328</v>
      </c>
    </row>
    <row r="8" spans="1:15" x14ac:dyDescent="0.2">
      <c r="A8" s="115" t="s">
        <v>93</v>
      </c>
      <c r="B8" s="119" t="s">
        <v>242</v>
      </c>
      <c r="C8" s="119">
        <v>36.31802392898495</v>
      </c>
      <c r="D8" s="119">
        <v>19.567734465457352</v>
      </c>
      <c r="E8" s="119">
        <v>27.132381319953687</v>
      </c>
      <c r="F8" s="119">
        <v>10.999614048629873</v>
      </c>
      <c r="G8" s="119">
        <v>5.9822462369741416</v>
      </c>
    </row>
    <row r="9" spans="1:15" x14ac:dyDescent="0.2">
      <c r="A9" s="115" t="s">
        <v>89</v>
      </c>
      <c r="B9" s="119" t="s">
        <v>90</v>
      </c>
      <c r="C9" s="119">
        <v>26.198830409356724</v>
      </c>
      <c r="D9" s="119">
        <v>23.450292397660817</v>
      </c>
      <c r="E9" s="119">
        <v>35.438596491228068</v>
      </c>
      <c r="F9" s="119">
        <v>8.5380116959064321</v>
      </c>
      <c r="G9" s="119">
        <v>6.3742690058479532</v>
      </c>
    </row>
    <row r="10" spans="1:15" x14ac:dyDescent="0.2">
      <c r="A10" s="115" t="s">
        <v>95</v>
      </c>
      <c r="B10" s="119" t="s">
        <v>96</v>
      </c>
      <c r="C10" s="119">
        <v>30.296299796795992</v>
      </c>
      <c r="D10" s="119">
        <v>23.056566324842873</v>
      </c>
      <c r="E10" s="119">
        <v>33.457776097537923</v>
      </c>
      <c r="F10" s="119">
        <v>8.2652048579934778</v>
      </c>
      <c r="G10" s="119">
        <v>4.9241529228297338</v>
      </c>
    </row>
    <row r="11" spans="1:15" s="122" customFormat="1" ht="21.6" customHeight="1" x14ac:dyDescent="0.25">
      <c r="A11" s="120" t="s">
        <v>243</v>
      </c>
      <c r="B11" s="121"/>
      <c r="C11" s="121">
        <v>29.874970650387414</v>
      </c>
      <c r="D11" s="121">
        <v>23.438600610471941</v>
      </c>
      <c r="E11" s="121">
        <v>33.053533693355249</v>
      </c>
      <c r="F11" s="121">
        <v>8.45855834702982</v>
      </c>
      <c r="G11" s="121">
        <v>5.1743366987555763</v>
      </c>
      <c r="H11" s="115"/>
      <c r="I11" s="115"/>
      <c r="J11" s="115"/>
      <c r="K11" s="115"/>
      <c r="L11" s="115"/>
      <c r="M11" s="115"/>
      <c r="N11" s="115"/>
      <c r="O11" s="115"/>
    </row>
  </sheetData>
  <pageMargins left="0.70000000000000007" right="0.70000000000000007" top="0.75" bottom="0.75" header="0.30000000000000004" footer="0.30000000000000004"/>
  <pageSetup paperSize="0" scale="31"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A7AD-D385-4E1B-BB9E-5E99E0317823}">
  <dimension ref="A1:G18"/>
  <sheetViews>
    <sheetView workbookViewId="0"/>
  </sheetViews>
  <sheetFormatPr defaultColWidth="9.42578125" defaultRowHeight="17.100000000000001" customHeight="1" x14ac:dyDescent="0.2"/>
  <cols>
    <col min="1" max="1" width="23.140625" style="123" customWidth="1"/>
    <col min="2" max="2" width="104.140625" style="123" customWidth="1"/>
    <col min="3" max="12" width="68" style="123" customWidth="1"/>
    <col min="13" max="13" width="9.42578125" style="123" customWidth="1"/>
    <col min="14" max="16384" width="9.42578125" style="123"/>
  </cols>
  <sheetData>
    <row r="1" spans="1:7" ht="17.100000000000001" customHeight="1" x14ac:dyDescent="0.3">
      <c r="A1" s="11" t="s">
        <v>60</v>
      </c>
      <c r="B1" s="28"/>
      <c r="C1" s="13"/>
      <c r="D1" s="13"/>
      <c r="E1" s="13"/>
      <c r="F1" s="13"/>
      <c r="G1" s="13"/>
    </row>
    <row r="2" spans="1:7" ht="17.100000000000001" customHeight="1" x14ac:dyDescent="0.2">
      <c r="A2" s="16" t="s">
        <v>61</v>
      </c>
      <c r="B2" s="30"/>
      <c r="C2" s="16"/>
      <c r="D2" s="16"/>
      <c r="E2" s="13"/>
      <c r="F2" s="13"/>
      <c r="G2" s="13"/>
    </row>
    <row r="3" spans="1:7" ht="17.100000000000001" customHeight="1" x14ac:dyDescent="0.25">
      <c r="A3" s="31" t="s">
        <v>62</v>
      </c>
      <c r="B3" s="14" t="s">
        <v>63</v>
      </c>
      <c r="C3" s="16" t="s">
        <v>64</v>
      </c>
      <c r="D3" s="16"/>
      <c r="E3" s="13"/>
      <c r="F3" s="13"/>
      <c r="G3" s="13"/>
    </row>
    <row r="4" spans="1:7" ht="41.85" customHeight="1" x14ac:dyDescent="0.2">
      <c r="A4" s="30">
        <v>1</v>
      </c>
      <c r="B4" s="21" t="s">
        <v>244</v>
      </c>
      <c r="C4" s="124" t="s">
        <v>68</v>
      </c>
      <c r="D4" s="16"/>
      <c r="E4" s="13"/>
      <c r="F4" s="13"/>
      <c r="G4" s="13"/>
    </row>
    <row r="5" spans="1:7" ht="48.95" customHeight="1" x14ac:dyDescent="0.25">
      <c r="A5" s="30">
        <v>2</v>
      </c>
      <c r="B5" s="20" t="s">
        <v>245</v>
      </c>
      <c r="C5" s="124" t="s">
        <v>68</v>
      </c>
      <c r="D5" s="16"/>
      <c r="E5" s="13"/>
      <c r="F5" s="13"/>
      <c r="G5" s="33"/>
    </row>
    <row r="6" spans="1:7" ht="36" customHeight="1" x14ac:dyDescent="0.25">
      <c r="A6" s="30">
        <v>3</v>
      </c>
      <c r="B6" s="20" t="s">
        <v>246</v>
      </c>
      <c r="C6" s="16"/>
      <c r="D6" s="16"/>
      <c r="E6" s="13"/>
      <c r="F6" s="13"/>
      <c r="G6" s="33"/>
    </row>
    <row r="7" spans="1:7" ht="33" customHeight="1" x14ac:dyDescent="0.25">
      <c r="A7" s="30">
        <v>4</v>
      </c>
      <c r="B7" s="20" t="s">
        <v>247</v>
      </c>
      <c r="C7" s="16"/>
      <c r="D7" s="16"/>
      <c r="E7" s="13"/>
      <c r="F7" s="13"/>
      <c r="G7" s="33"/>
    </row>
    <row r="8" spans="1:7" ht="17.100000000000001" customHeight="1" x14ac:dyDescent="0.25">
      <c r="A8" s="30">
        <v>5</v>
      </c>
      <c r="B8" s="34" t="s">
        <v>248</v>
      </c>
      <c r="C8" s="16"/>
      <c r="D8" s="16"/>
      <c r="E8" s="13"/>
      <c r="F8" s="13"/>
      <c r="G8" s="33"/>
    </row>
    <row r="9" spans="1:7" s="125" customFormat="1" ht="30.6" customHeight="1" x14ac:dyDescent="0.25">
      <c r="A9" s="30">
        <v>6</v>
      </c>
      <c r="B9" s="34" t="s">
        <v>249</v>
      </c>
      <c r="C9" s="30"/>
      <c r="D9" s="16"/>
      <c r="E9" s="13"/>
      <c r="F9" s="13"/>
      <c r="G9" s="33"/>
    </row>
    <row r="10" spans="1:7" s="125" customFormat="1" ht="37.35" customHeight="1" x14ac:dyDescent="0.2">
      <c r="A10" s="30">
        <v>7</v>
      </c>
      <c r="B10" s="20" t="s">
        <v>250</v>
      </c>
      <c r="C10" s="16"/>
      <c r="D10" s="16"/>
      <c r="E10" s="13"/>
      <c r="F10" s="13"/>
      <c r="G10" s="13"/>
    </row>
    <row r="11" spans="1:7" s="125" customFormat="1" ht="17.100000000000001" customHeight="1" x14ac:dyDescent="0.25">
      <c r="A11" s="30">
        <v>8</v>
      </c>
      <c r="B11" s="20" t="s">
        <v>251</v>
      </c>
      <c r="C11" s="16"/>
      <c r="D11" s="16"/>
      <c r="E11" s="13"/>
      <c r="F11" s="13"/>
      <c r="G11" s="33"/>
    </row>
    <row r="12" spans="1:7" s="125" customFormat="1" ht="39.950000000000003" customHeight="1" x14ac:dyDescent="0.25">
      <c r="A12" s="30">
        <v>9</v>
      </c>
      <c r="B12" s="20" t="s">
        <v>252</v>
      </c>
      <c r="C12" s="124" t="s">
        <v>253</v>
      </c>
      <c r="D12" s="16"/>
      <c r="E12" s="13"/>
      <c r="F12" s="13"/>
      <c r="G12" s="33"/>
    </row>
    <row r="13" spans="1:7" s="125" customFormat="1" ht="36" customHeight="1" x14ac:dyDescent="0.25">
      <c r="A13" s="30">
        <v>10</v>
      </c>
      <c r="B13" s="20" t="s">
        <v>254</v>
      </c>
      <c r="C13" s="16"/>
      <c r="D13" s="16"/>
      <c r="E13" s="13"/>
      <c r="F13" s="13"/>
      <c r="G13" s="33"/>
    </row>
    <row r="14" spans="1:7" s="125" customFormat="1" ht="17.100000000000001" customHeight="1" x14ac:dyDescent="0.2">
      <c r="A14" s="30">
        <v>11</v>
      </c>
      <c r="B14" s="34" t="s">
        <v>255</v>
      </c>
      <c r="C14" s="16"/>
      <c r="D14" s="16"/>
      <c r="E14" s="13"/>
      <c r="F14" s="13"/>
      <c r="G14" s="13"/>
    </row>
    <row r="15" spans="1:7" s="125" customFormat="1" ht="17.100000000000001" customHeight="1" x14ac:dyDescent="0.2"/>
    <row r="16" spans="1:7" ht="17.100000000000001" customHeight="1" x14ac:dyDescent="0.2">
      <c r="A16" s="126"/>
      <c r="B16" s="126"/>
      <c r="C16" s="126"/>
      <c r="D16" s="126"/>
    </row>
    <row r="17" spans="1:4" ht="17.100000000000001" customHeight="1" x14ac:dyDescent="0.2">
      <c r="A17" s="126"/>
      <c r="B17" s="126"/>
      <c r="C17" s="126"/>
      <c r="D17" s="126"/>
    </row>
    <row r="18" spans="1:4" ht="17.100000000000001" customHeight="1" x14ac:dyDescent="0.2">
      <c r="A18" s="126"/>
      <c r="B18" s="126"/>
      <c r="C18" s="126"/>
      <c r="D18" s="126"/>
    </row>
  </sheetData>
  <conditionalFormatting sqref="A13:A14">
    <cfRule type="expression" dxfId="3" priority="1" stopIfTrue="1">
      <formula>NOT(ISERROR(SEARCH("TRUE",A13)))</formula>
    </cfRule>
  </conditionalFormatting>
  <hyperlinks>
    <hyperlink ref="C4" r:id="rId1" xr:uid="{3598E685-B966-469A-B722-86FEC9F3EB25}"/>
    <hyperlink ref="C5" r:id="rId2" xr:uid="{A68258FA-CDC9-4DE1-A297-F02937A1E5D3}"/>
    <hyperlink ref="C12" r:id="rId3" location="classifications" xr:uid="{04EF863A-7B08-4DB6-9402-40E0DF5B96ED}"/>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C910-3CF5-4E5A-8A04-8C9B2495FE85}">
  <dimension ref="A1:N11"/>
  <sheetViews>
    <sheetView workbookViewId="0"/>
  </sheetViews>
  <sheetFormatPr defaultColWidth="9.42578125" defaultRowHeight="15" x14ac:dyDescent="0.25"/>
  <cols>
    <col min="1" max="1" width="60.28515625" style="29" customWidth="1"/>
    <col min="2" max="2" width="21.28515625" style="29" customWidth="1"/>
    <col min="3" max="3" width="13" style="29" customWidth="1"/>
    <col min="4" max="4" width="4.140625" style="29" customWidth="1"/>
    <col min="5" max="5" width="11.5703125" style="29" customWidth="1"/>
    <col min="6" max="6" width="9.42578125" style="29" customWidth="1"/>
    <col min="7" max="16384" width="9.42578125" style="29"/>
  </cols>
  <sheetData>
    <row r="1" spans="1:14" ht="22.15" customHeight="1" x14ac:dyDescent="0.25">
      <c r="A1" s="127" t="s">
        <v>256</v>
      </c>
      <c r="B1" s="127"/>
      <c r="C1" s="127"/>
      <c r="D1" s="127"/>
      <c r="E1" s="127"/>
    </row>
    <row r="2" spans="1:14" s="132" customFormat="1" ht="22.15" customHeight="1" x14ac:dyDescent="0.25">
      <c r="A2" s="128" t="s">
        <v>257</v>
      </c>
      <c r="B2" s="129"/>
      <c r="C2" s="130"/>
      <c r="D2" s="131"/>
    </row>
    <row r="3" spans="1:14" s="51" customFormat="1" ht="19.899999999999999" customHeight="1" x14ac:dyDescent="0.2">
      <c r="A3" s="52" t="s">
        <v>258</v>
      </c>
      <c r="B3" s="52"/>
      <c r="C3" s="52"/>
      <c r="D3" s="52"/>
      <c r="E3" s="52"/>
      <c r="F3" s="52"/>
      <c r="G3" s="52"/>
      <c r="H3" s="52"/>
      <c r="I3" s="52"/>
      <c r="J3" s="52"/>
      <c r="K3" s="52"/>
      <c r="L3" s="52"/>
      <c r="M3" s="52"/>
      <c r="N3" s="52"/>
    </row>
    <row r="4" spans="1:14" s="52" customFormat="1" ht="19.899999999999999" customHeight="1" x14ac:dyDescent="0.2">
      <c r="A4" s="126" t="s">
        <v>259</v>
      </c>
    </row>
    <row r="5" spans="1:14" ht="27.95" customHeight="1" x14ac:dyDescent="0.25">
      <c r="A5" s="133" t="s">
        <v>260</v>
      </c>
      <c r="B5" s="134" t="s">
        <v>261</v>
      </c>
      <c r="C5" s="201" t="s">
        <v>262</v>
      </c>
      <c r="D5" s="201"/>
      <c r="E5" s="201"/>
    </row>
    <row r="6" spans="1:14" ht="21" customHeight="1" x14ac:dyDescent="0.25">
      <c r="A6" s="135" t="s">
        <v>263</v>
      </c>
      <c r="B6" s="136">
        <v>176</v>
      </c>
      <c r="C6" s="137">
        <v>144</v>
      </c>
      <c r="D6" s="138" t="s">
        <v>264</v>
      </c>
      <c r="E6" s="139">
        <v>208</v>
      </c>
    </row>
    <row r="7" spans="1:14" ht="15.75" x14ac:dyDescent="0.25">
      <c r="A7" s="126" t="s">
        <v>138</v>
      </c>
      <c r="B7" s="136">
        <v>93</v>
      </c>
      <c r="C7" s="137">
        <v>68</v>
      </c>
      <c r="D7" s="138" t="s">
        <v>264</v>
      </c>
      <c r="E7" s="139">
        <v>117</v>
      </c>
    </row>
    <row r="8" spans="1:14" ht="15.75" x14ac:dyDescent="0.25">
      <c r="A8" s="126" t="s">
        <v>140</v>
      </c>
      <c r="B8" s="136">
        <v>38</v>
      </c>
      <c r="C8" s="137">
        <v>21</v>
      </c>
      <c r="D8" s="138" t="s">
        <v>264</v>
      </c>
      <c r="E8" s="139">
        <v>55</v>
      </c>
    </row>
    <row r="9" spans="1:14" ht="15.75" x14ac:dyDescent="0.25">
      <c r="A9" s="126" t="s">
        <v>141</v>
      </c>
      <c r="B9" s="136">
        <v>24</v>
      </c>
      <c r="C9" s="137">
        <v>13</v>
      </c>
      <c r="D9" s="138" t="s">
        <v>264</v>
      </c>
      <c r="E9" s="139">
        <v>34</v>
      </c>
    </row>
    <row r="10" spans="1:14" ht="15.75" x14ac:dyDescent="0.25">
      <c r="A10" s="126" t="s">
        <v>142</v>
      </c>
      <c r="B10" s="136">
        <v>56</v>
      </c>
      <c r="C10" s="137">
        <v>39</v>
      </c>
      <c r="D10" s="138" t="s">
        <v>264</v>
      </c>
      <c r="E10" s="139">
        <v>73</v>
      </c>
    </row>
    <row r="11" spans="1:14" ht="15.75" x14ac:dyDescent="0.25">
      <c r="A11" s="140" t="s">
        <v>265</v>
      </c>
      <c r="B11" s="141">
        <v>6</v>
      </c>
      <c r="C11" s="142">
        <v>3</v>
      </c>
      <c r="D11" s="143" t="s">
        <v>264</v>
      </c>
      <c r="E11" s="144">
        <v>9</v>
      </c>
    </row>
  </sheetData>
  <mergeCells count="1">
    <mergeCell ref="C5:E5"/>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2A99-5BEB-4696-8417-E16ECF1AA4E6}">
  <dimension ref="A1:N18"/>
  <sheetViews>
    <sheetView workbookViewId="0"/>
  </sheetViews>
  <sheetFormatPr defaultColWidth="11.42578125" defaultRowHeight="15" x14ac:dyDescent="0.2"/>
  <cols>
    <col min="1" max="1" width="60.28515625" style="125" customWidth="1"/>
    <col min="2" max="2" width="27.140625" style="125" customWidth="1"/>
    <col min="3" max="3" width="26.42578125" style="125" customWidth="1"/>
    <col min="4" max="4" width="14.5703125" style="125" customWidth="1"/>
    <col min="5" max="5" width="11.42578125" style="125" customWidth="1"/>
    <col min="6" max="16384" width="11.42578125" style="125"/>
  </cols>
  <sheetData>
    <row r="1" spans="1:14" ht="22.15" customHeight="1" x14ac:dyDescent="0.25">
      <c r="A1" s="145" t="s">
        <v>266</v>
      </c>
      <c r="B1" s="145"/>
      <c r="C1" s="145"/>
    </row>
    <row r="2" spans="1:14" s="132" customFormat="1" ht="22.15" customHeight="1" x14ac:dyDescent="0.25">
      <c r="A2" s="128" t="s">
        <v>257</v>
      </c>
      <c r="B2" s="129"/>
      <c r="C2" s="130"/>
      <c r="D2" s="131"/>
    </row>
    <row r="3" spans="1:14" s="51" customFormat="1" ht="19.899999999999999" customHeight="1" x14ac:dyDescent="0.2">
      <c r="A3" s="52" t="s">
        <v>267</v>
      </c>
      <c r="B3" s="52"/>
      <c r="C3" s="52"/>
      <c r="D3" s="52"/>
      <c r="E3" s="52"/>
      <c r="F3" s="52"/>
      <c r="G3" s="52"/>
      <c r="H3" s="52"/>
      <c r="I3" s="52"/>
      <c r="J3" s="52"/>
      <c r="K3" s="52"/>
      <c r="L3" s="52"/>
      <c r="M3" s="52"/>
      <c r="N3" s="52"/>
    </row>
    <row r="4" spans="1:14" s="52" customFormat="1" ht="19.899999999999999" customHeight="1" x14ac:dyDescent="0.2">
      <c r="A4" s="126" t="s">
        <v>259</v>
      </c>
    </row>
    <row r="5" spans="1:14" ht="63" x14ac:dyDescent="0.25">
      <c r="A5" s="146" t="s">
        <v>268</v>
      </c>
      <c r="B5" s="147" t="s">
        <v>269</v>
      </c>
      <c r="C5" s="147" t="s">
        <v>270</v>
      </c>
    </row>
    <row r="6" spans="1:14" ht="25.9" customHeight="1" x14ac:dyDescent="0.25">
      <c r="A6" s="148" t="s">
        <v>271</v>
      </c>
      <c r="B6" s="149">
        <v>63.648888750350672</v>
      </c>
      <c r="C6" s="149">
        <v>40.159910875606201</v>
      </c>
      <c r="D6" s="150"/>
    </row>
    <row r="7" spans="1:14" x14ac:dyDescent="0.2">
      <c r="A7" s="125" t="s">
        <v>272</v>
      </c>
      <c r="B7" s="151">
        <v>32.715110407341371</v>
      </c>
      <c r="C7" s="151">
        <v>11.303604569719083</v>
      </c>
      <c r="D7" s="152"/>
    </row>
    <row r="8" spans="1:14" x14ac:dyDescent="0.2">
      <c r="A8" s="125" t="s">
        <v>273</v>
      </c>
      <c r="B8" s="151">
        <v>18.054187499220728</v>
      </c>
      <c r="C8" s="151">
        <v>8.4475204712829424</v>
      </c>
      <c r="D8" s="152"/>
    </row>
    <row r="9" spans="1:14" x14ac:dyDescent="0.2">
      <c r="A9" s="125" t="s">
        <v>274</v>
      </c>
      <c r="B9" s="151">
        <v>4.4686607732877821</v>
      </c>
      <c r="C9" s="151">
        <v>2.0850471296907971</v>
      </c>
      <c r="D9" s="152"/>
    </row>
    <row r="10" spans="1:14" x14ac:dyDescent="0.2">
      <c r="A10" s="125" t="s">
        <v>275</v>
      </c>
      <c r="B10" s="151">
        <v>4.214306198022518</v>
      </c>
      <c r="C10" s="151">
        <v>8.214628473477422</v>
      </c>
      <c r="D10" s="152"/>
    </row>
    <row r="11" spans="1:14" x14ac:dyDescent="0.2">
      <c r="A11" s="153" t="s">
        <v>276</v>
      </c>
      <c r="B11" s="151">
        <v>4.1968504918768623</v>
      </c>
      <c r="C11" s="151">
        <v>10.109126612335746</v>
      </c>
      <c r="D11" s="152"/>
    </row>
    <row r="12" spans="1:14" ht="31.15" customHeight="1" x14ac:dyDescent="0.25">
      <c r="A12" s="154" t="s">
        <v>277</v>
      </c>
      <c r="B12" s="149">
        <v>36.351111249649328</v>
      </c>
      <c r="C12" s="149">
        <v>59.840089124393799</v>
      </c>
      <c r="D12" s="152"/>
    </row>
    <row r="13" spans="1:14" x14ac:dyDescent="0.2">
      <c r="A13" s="125" t="s">
        <v>278</v>
      </c>
      <c r="B13" s="151">
        <v>17.233253327514728</v>
      </c>
      <c r="C13" s="151">
        <v>15.030244286685951</v>
      </c>
      <c r="D13" s="152"/>
    </row>
    <row r="14" spans="1:14" x14ac:dyDescent="0.2">
      <c r="A14" s="125" t="s">
        <v>279</v>
      </c>
      <c r="B14" s="151">
        <v>9.7078662892909247</v>
      </c>
      <c r="C14" s="151">
        <v>9.3844324245307114</v>
      </c>
      <c r="D14" s="152"/>
    </row>
    <row r="15" spans="1:14" x14ac:dyDescent="0.2">
      <c r="A15" s="125" t="s">
        <v>280</v>
      </c>
      <c r="B15" s="151">
        <v>2.9525264175056889</v>
      </c>
      <c r="C15" s="151">
        <v>16.479916164205122</v>
      </c>
      <c r="D15" s="152"/>
    </row>
    <row r="16" spans="1:14" x14ac:dyDescent="0.2">
      <c r="A16" s="125" t="s">
        <v>281</v>
      </c>
      <c r="B16" s="151">
        <v>0.64586112738924972</v>
      </c>
      <c r="C16" s="151">
        <v>4.7877359917951923</v>
      </c>
      <c r="D16" s="152"/>
    </row>
    <row r="17" spans="1:4" x14ac:dyDescent="0.2">
      <c r="A17" s="125" t="s">
        <v>282</v>
      </c>
      <c r="B17" s="151">
        <v>7.3918681346084316</v>
      </c>
      <c r="C17" s="151">
        <v>16.69441329156442</v>
      </c>
      <c r="D17" s="152"/>
    </row>
    <row r="18" spans="1:4" ht="25.9" customHeight="1" x14ac:dyDescent="0.2">
      <c r="A18" s="155" t="s">
        <v>283</v>
      </c>
      <c r="B18" s="156">
        <v>588</v>
      </c>
      <c r="C18" s="156">
        <v>12768</v>
      </c>
      <c r="D18" s="157"/>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6227-B27D-481E-83C2-5243FEFA29A3}">
  <dimension ref="A1:N15"/>
  <sheetViews>
    <sheetView workbookViewId="0"/>
  </sheetViews>
  <sheetFormatPr defaultColWidth="9.42578125" defaultRowHeight="15" customHeight="1" x14ac:dyDescent="0.2"/>
  <cols>
    <col min="1" max="1" width="68.140625" style="162" customWidth="1"/>
    <col min="2" max="3" width="16.140625" style="162" customWidth="1"/>
    <col min="4" max="4" width="9.42578125" style="162" customWidth="1"/>
    <col min="5" max="16384" width="9.42578125" style="162"/>
  </cols>
  <sheetData>
    <row r="1" spans="1:14" s="125" customFormat="1" ht="22.15" customHeight="1" x14ac:dyDescent="0.25">
      <c r="A1" s="145" t="s">
        <v>284</v>
      </c>
      <c r="B1" s="145"/>
      <c r="C1" s="145"/>
    </row>
    <row r="2" spans="1:14" s="132" customFormat="1" ht="22.15" customHeight="1" x14ac:dyDescent="0.25">
      <c r="A2" s="128" t="s">
        <v>257</v>
      </c>
      <c r="B2" s="129"/>
      <c r="C2" s="130"/>
      <c r="D2" s="131"/>
    </row>
    <row r="3" spans="1:14" s="51" customFormat="1" ht="19.899999999999999" customHeight="1" x14ac:dyDescent="0.2">
      <c r="A3" s="52" t="s">
        <v>267</v>
      </c>
      <c r="B3" s="52"/>
      <c r="C3" s="52"/>
      <c r="D3" s="52"/>
      <c r="E3" s="52"/>
      <c r="F3" s="52"/>
      <c r="G3" s="52"/>
      <c r="H3" s="52"/>
      <c r="I3" s="52"/>
      <c r="J3" s="52"/>
      <c r="K3" s="52"/>
      <c r="L3" s="52"/>
      <c r="M3" s="52"/>
      <c r="N3" s="52"/>
    </row>
    <row r="4" spans="1:14" s="52" customFormat="1" ht="19.899999999999999" customHeight="1" x14ac:dyDescent="0.2">
      <c r="A4" s="126" t="s">
        <v>259</v>
      </c>
    </row>
    <row r="5" spans="1:14" s="126" customFormat="1" ht="21.6" customHeight="1" x14ac:dyDescent="0.25">
      <c r="A5" s="158"/>
      <c r="B5" s="159" t="s">
        <v>285</v>
      </c>
      <c r="C5" s="160" t="s">
        <v>286</v>
      </c>
    </row>
    <row r="6" spans="1:14" s="126" customFormat="1" ht="22.35" customHeight="1" x14ac:dyDescent="0.2">
      <c r="A6" s="135" t="s">
        <v>287</v>
      </c>
      <c r="B6" s="136">
        <v>16.63585018976697</v>
      </c>
      <c r="C6" s="136">
        <v>21.657584853230858</v>
      </c>
    </row>
    <row r="7" spans="1:14" s="126" customFormat="1" ht="20.85" customHeight="1" x14ac:dyDescent="0.2">
      <c r="A7" s="161" t="s">
        <v>270</v>
      </c>
      <c r="B7" s="141">
        <v>22.028167929636936</v>
      </c>
      <c r="C7" s="141">
        <v>19.426610024343876</v>
      </c>
    </row>
    <row r="8" spans="1:14" ht="15" customHeight="1" x14ac:dyDescent="0.2">
      <c r="C8" s="163"/>
    </row>
    <row r="12" spans="1:14" ht="15" customHeight="1" x14ac:dyDescent="0.25">
      <c r="A12" s="29"/>
      <c r="B12" s="164"/>
      <c r="C12" s="164"/>
      <c r="D12" s="29"/>
    </row>
    <row r="13" spans="1:14" ht="15" customHeight="1" x14ac:dyDescent="0.25">
      <c r="A13" s="29"/>
      <c r="B13" s="164"/>
      <c r="C13" s="164"/>
      <c r="D13" s="164"/>
    </row>
    <row r="14" spans="1:14" ht="15" customHeight="1" x14ac:dyDescent="0.25">
      <c r="A14" s="29"/>
      <c r="B14" s="164"/>
      <c r="C14" s="164"/>
      <c r="D14" s="164"/>
    </row>
    <row r="15" spans="1:14" ht="15" customHeight="1" x14ac:dyDescent="0.25">
      <c r="A15" s="29"/>
      <c r="B15" s="29"/>
      <c r="C15" s="29"/>
      <c r="D15" s="29"/>
    </row>
  </sheetData>
  <conditionalFormatting sqref="B8:C9">
    <cfRule type="expression" dxfId="2" priority="2" stopIfTrue="1">
      <formula>NOT(ISERROR(SEARCH("true",B8)))</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89DD-6E4A-4314-B62C-1F0AB7504C85}">
  <dimension ref="A1:N8"/>
  <sheetViews>
    <sheetView workbookViewId="0"/>
  </sheetViews>
  <sheetFormatPr defaultColWidth="11.42578125" defaultRowHeight="15" x14ac:dyDescent="0.2"/>
  <cols>
    <col min="1" max="1" width="63.7109375" style="125" customWidth="1"/>
    <col min="2" max="14" width="16.140625" style="125" customWidth="1"/>
    <col min="15" max="15" width="11.42578125" style="125" customWidth="1"/>
    <col min="16" max="16384" width="11.42578125" style="125"/>
  </cols>
  <sheetData>
    <row r="1" spans="1:14" ht="22.15" customHeight="1" x14ac:dyDescent="0.25">
      <c r="A1" s="145" t="s">
        <v>288</v>
      </c>
      <c r="B1" s="145"/>
      <c r="C1" s="145"/>
    </row>
    <row r="2" spans="1:14" s="132" customFormat="1" ht="22.15" customHeight="1" x14ac:dyDescent="0.25">
      <c r="A2" s="128" t="s">
        <v>289</v>
      </c>
      <c r="B2" s="129"/>
      <c r="C2" s="130"/>
      <c r="D2" s="131"/>
    </row>
    <row r="3" spans="1:14" s="51" customFormat="1" ht="19.899999999999999" customHeight="1" x14ac:dyDescent="0.2">
      <c r="A3" s="52" t="s">
        <v>267</v>
      </c>
      <c r="B3" s="52"/>
      <c r="C3" s="52"/>
      <c r="D3" s="52"/>
      <c r="E3" s="52"/>
      <c r="F3" s="52"/>
      <c r="G3" s="52"/>
      <c r="H3" s="52"/>
      <c r="I3" s="52"/>
      <c r="J3" s="52"/>
      <c r="K3" s="52"/>
      <c r="L3" s="52"/>
      <c r="M3" s="52"/>
      <c r="N3" s="52"/>
    </row>
    <row r="4" spans="1:14" s="52" customFormat="1" ht="19.899999999999999" customHeight="1" x14ac:dyDescent="0.2">
      <c r="A4" s="126" t="s">
        <v>259</v>
      </c>
    </row>
    <row r="5" spans="1:14" ht="40.9" customHeight="1" x14ac:dyDescent="0.2">
      <c r="A5" s="165"/>
      <c r="B5" s="203" t="s">
        <v>290</v>
      </c>
      <c r="C5" s="203"/>
      <c r="D5" s="202" t="s">
        <v>291</v>
      </c>
      <c r="E5" s="202"/>
      <c r="F5" s="202" t="s">
        <v>292</v>
      </c>
      <c r="G5" s="202"/>
      <c r="H5" s="202" t="s">
        <v>293</v>
      </c>
      <c r="I5" s="202"/>
      <c r="J5" s="202" t="s">
        <v>294</v>
      </c>
      <c r="K5" s="202"/>
      <c r="L5" s="202" t="s">
        <v>295</v>
      </c>
      <c r="M5" s="202"/>
    </row>
    <row r="6" spans="1:14" ht="47.85" customHeight="1" x14ac:dyDescent="0.25">
      <c r="A6" s="166"/>
      <c r="B6" s="167" t="s">
        <v>296</v>
      </c>
      <c r="C6" s="168" t="s">
        <v>283</v>
      </c>
      <c r="D6" s="169" t="s">
        <v>296</v>
      </c>
      <c r="E6" s="168" t="s">
        <v>283</v>
      </c>
      <c r="F6" s="169" t="s">
        <v>296</v>
      </c>
      <c r="G6" s="168" t="s">
        <v>283</v>
      </c>
      <c r="H6" s="169" t="s">
        <v>296</v>
      </c>
      <c r="I6" s="170" t="s">
        <v>283</v>
      </c>
      <c r="J6" s="167" t="s">
        <v>297</v>
      </c>
      <c r="K6" s="168" t="s">
        <v>283</v>
      </c>
      <c r="L6" s="169" t="s">
        <v>297</v>
      </c>
      <c r="M6" s="170" t="s">
        <v>283</v>
      </c>
    </row>
    <row r="7" spans="1:14" ht="25.35" customHeight="1" x14ac:dyDescent="0.2">
      <c r="A7" s="171" t="s">
        <v>298</v>
      </c>
      <c r="B7" s="172">
        <v>51.025598624156629</v>
      </c>
      <c r="C7" s="173">
        <v>516</v>
      </c>
      <c r="D7" s="174">
        <v>49.076967912450129</v>
      </c>
      <c r="E7" s="175">
        <v>666</v>
      </c>
      <c r="F7" s="172">
        <v>48.252938150449133</v>
      </c>
      <c r="G7" s="175">
        <v>409</v>
      </c>
      <c r="H7" s="172">
        <v>53.008029041911279</v>
      </c>
      <c r="I7" s="175">
        <v>377</v>
      </c>
      <c r="J7" s="172">
        <v>47.18950991035863</v>
      </c>
      <c r="K7" s="175">
        <v>356</v>
      </c>
      <c r="L7" s="172">
        <v>44.113559864722916</v>
      </c>
      <c r="M7" s="176">
        <v>309</v>
      </c>
    </row>
    <row r="8" spans="1:14" ht="26.1" customHeight="1" x14ac:dyDescent="0.2">
      <c r="A8" s="177" t="s">
        <v>270</v>
      </c>
      <c r="B8" s="178">
        <v>38.948399722341151</v>
      </c>
      <c r="C8" s="156">
        <v>24935</v>
      </c>
      <c r="D8" s="179">
        <v>39.177868347129944</v>
      </c>
      <c r="E8" s="180">
        <v>34314</v>
      </c>
      <c r="F8" s="178">
        <v>39.55225710882312</v>
      </c>
      <c r="G8" s="180">
        <v>20718</v>
      </c>
      <c r="H8" s="178">
        <v>39.800819906996317</v>
      </c>
      <c r="I8" s="180">
        <v>17019</v>
      </c>
      <c r="J8" s="178">
        <v>38.360619917898781</v>
      </c>
      <c r="K8" s="180">
        <v>16082</v>
      </c>
      <c r="L8" s="178">
        <v>37.035025733976973</v>
      </c>
      <c r="M8" s="181">
        <v>10404</v>
      </c>
    </row>
  </sheetData>
  <mergeCells count="6">
    <mergeCell ref="L5:M5"/>
    <mergeCell ref="B5:C5"/>
    <mergeCell ref="D5:E5"/>
    <mergeCell ref="F5:G5"/>
    <mergeCell ref="H5:I5"/>
    <mergeCell ref="J5:K5"/>
  </mergeCells>
  <pageMargins left="0.70866141732283516" right="0.70866141732283516" top="0.74803149606299213" bottom="0.74803149606299213" header="0.31496062992126012" footer="0.31496062992126012"/>
  <pageSetup paperSize="0" fitToWidth="0" fitToHeight="0" orientation="landscape"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6F7A-1AF0-437A-9A72-8395C0EE0963}">
  <dimension ref="A1:N11"/>
  <sheetViews>
    <sheetView workbookViewId="0"/>
  </sheetViews>
  <sheetFormatPr defaultColWidth="11.42578125" defaultRowHeight="15" x14ac:dyDescent="0.2"/>
  <cols>
    <col min="1" max="1" width="45.7109375" style="125" customWidth="1"/>
    <col min="2" max="4" width="17.140625" style="125" customWidth="1"/>
    <col min="5" max="5" width="11.42578125" style="125" customWidth="1"/>
    <col min="6" max="16384" width="11.42578125" style="125"/>
  </cols>
  <sheetData>
    <row r="1" spans="1:14" ht="22.15" customHeight="1" x14ac:dyDescent="0.25">
      <c r="A1" s="145" t="s">
        <v>299</v>
      </c>
      <c r="B1" s="145"/>
      <c r="C1" s="145"/>
    </row>
    <row r="2" spans="1:14" s="132" customFormat="1" ht="22.15" customHeight="1" x14ac:dyDescent="0.25">
      <c r="A2" s="128" t="s">
        <v>257</v>
      </c>
      <c r="B2" s="129"/>
      <c r="C2" s="130"/>
      <c r="D2" s="131"/>
    </row>
    <row r="3" spans="1:14" s="51" customFormat="1" ht="19.899999999999999" customHeight="1" x14ac:dyDescent="0.2">
      <c r="A3" s="52" t="s">
        <v>152</v>
      </c>
      <c r="B3" s="52"/>
      <c r="C3" s="52"/>
      <c r="D3" s="52"/>
      <c r="E3" s="52"/>
      <c r="F3" s="52"/>
      <c r="G3" s="52"/>
      <c r="H3" s="52"/>
      <c r="I3" s="52"/>
      <c r="J3" s="52"/>
      <c r="K3" s="52"/>
      <c r="L3" s="52"/>
      <c r="M3" s="52"/>
      <c r="N3" s="52"/>
    </row>
    <row r="4" spans="1:14" s="52" customFormat="1" ht="19.899999999999999" customHeight="1" x14ac:dyDescent="0.2">
      <c r="A4" s="126" t="s">
        <v>259</v>
      </c>
    </row>
    <row r="5" spans="1:14" ht="90.75" x14ac:dyDescent="0.25">
      <c r="A5" s="146" t="s">
        <v>300</v>
      </c>
      <c r="B5" s="182" t="s">
        <v>301</v>
      </c>
      <c r="C5" s="182" t="s">
        <v>270</v>
      </c>
      <c r="D5" s="183" t="s">
        <v>302</v>
      </c>
    </row>
    <row r="6" spans="1:14" ht="23.45" customHeight="1" x14ac:dyDescent="0.25">
      <c r="A6" s="154" t="s">
        <v>303</v>
      </c>
      <c r="B6" s="184">
        <v>0.17865419173965771</v>
      </c>
      <c r="C6" s="185">
        <v>10.153775968737023</v>
      </c>
      <c r="D6" s="186">
        <v>93562</v>
      </c>
    </row>
    <row r="7" spans="1:14" x14ac:dyDescent="0.2">
      <c r="A7" s="125" t="s">
        <v>237</v>
      </c>
      <c r="B7" s="187">
        <v>6.9900149775368223E-2</v>
      </c>
      <c r="C7" s="188">
        <v>9.8942770039221077</v>
      </c>
      <c r="D7" s="189">
        <v>79641</v>
      </c>
    </row>
    <row r="8" spans="1:14" x14ac:dyDescent="0.2">
      <c r="A8" s="190" t="s">
        <v>304</v>
      </c>
      <c r="B8" s="187">
        <v>0.52453306142779843</v>
      </c>
      <c r="C8" s="188">
        <v>14.260702588530135</v>
      </c>
      <c r="D8" s="189">
        <v>1325</v>
      </c>
    </row>
    <row r="9" spans="1:14" x14ac:dyDescent="0.2">
      <c r="A9" s="190" t="s">
        <v>239</v>
      </c>
      <c r="B9" s="187">
        <v>0.7301494793273795</v>
      </c>
      <c r="C9" s="188">
        <v>10.647646371698974</v>
      </c>
      <c r="D9" s="189">
        <v>7294</v>
      </c>
    </row>
    <row r="10" spans="1:14" x14ac:dyDescent="0.2">
      <c r="A10" s="190" t="s">
        <v>305</v>
      </c>
      <c r="B10" s="187">
        <v>0.65749714515755775</v>
      </c>
      <c r="C10" s="188">
        <v>10.57087562434859</v>
      </c>
      <c r="D10" s="189">
        <v>3777</v>
      </c>
    </row>
    <row r="11" spans="1:14" x14ac:dyDescent="0.2">
      <c r="A11" s="191" t="s">
        <v>241</v>
      </c>
      <c r="B11" s="192">
        <v>0.52309055551889527</v>
      </c>
      <c r="C11" s="193">
        <v>12.8768649475226</v>
      </c>
      <c r="D11" s="194">
        <v>1200</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4AE5-4FF7-4D37-B2C1-9CBCE4605DC3}">
  <dimension ref="A1:N15"/>
  <sheetViews>
    <sheetView workbookViewId="0"/>
  </sheetViews>
  <sheetFormatPr defaultColWidth="9.42578125" defaultRowHeight="15" customHeight="1" x14ac:dyDescent="0.2"/>
  <cols>
    <col min="1" max="1" width="29.28515625" style="162" customWidth="1"/>
    <col min="2" max="2" width="26" style="162" customWidth="1"/>
    <col min="3" max="3" width="30" style="162" customWidth="1"/>
    <col min="4" max="4" width="9.42578125" style="162" customWidth="1"/>
    <col min="5" max="16384" width="9.42578125" style="162"/>
  </cols>
  <sheetData>
    <row r="1" spans="1:14" s="125" customFormat="1" ht="22.15" customHeight="1" x14ac:dyDescent="0.25">
      <c r="A1" s="145" t="s">
        <v>306</v>
      </c>
      <c r="B1" s="145"/>
      <c r="C1" s="145"/>
    </row>
    <row r="2" spans="1:14" s="132" customFormat="1" ht="22.15" customHeight="1" x14ac:dyDescent="0.25">
      <c r="A2" s="128" t="s">
        <v>307</v>
      </c>
      <c r="B2" s="129"/>
      <c r="C2" s="130"/>
      <c r="D2" s="131"/>
    </row>
    <row r="3" spans="1:14" s="51" customFormat="1" ht="19.899999999999999" customHeight="1" x14ac:dyDescent="0.2">
      <c r="A3" s="52" t="s">
        <v>308</v>
      </c>
      <c r="B3" s="52"/>
      <c r="C3" s="52"/>
      <c r="D3" s="52"/>
      <c r="E3" s="52"/>
      <c r="F3" s="52"/>
      <c r="G3" s="52"/>
      <c r="H3" s="52"/>
      <c r="I3" s="52"/>
      <c r="J3" s="52"/>
      <c r="K3" s="52"/>
      <c r="L3" s="52"/>
      <c r="M3" s="52"/>
      <c r="N3" s="52"/>
    </row>
    <row r="4" spans="1:14" s="51" customFormat="1" ht="19.899999999999999" customHeight="1" x14ac:dyDescent="0.2">
      <c r="A4" s="52" t="s">
        <v>309</v>
      </c>
      <c r="B4" s="52"/>
      <c r="C4" s="52"/>
      <c r="D4" s="52"/>
      <c r="E4" s="52"/>
      <c r="F4" s="52"/>
      <c r="G4" s="52"/>
      <c r="H4" s="52"/>
      <c r="I4" s="52"/>
      <c r="J4" s="52"/>
      <c r="K4" s="52"/>
      <c r="L4" s="52"/>
      <c r="M4" s="52"/>
      <c r="N4" s="52"/>
    </row>
    <row r="5" spans="1:14" s="52" customFormat="1" ht="19.899999999999999" customHeight="1" x14ac:dyDescent="0.2">
      <c r="A5" s="126" t="s">
        <v>259</v>
      </c>
    </row>
    <row r="6" spans="1:14" s="126" customFormat="1" ht="57.6" customHeight="1" x14ac:dyDescent="0.25">
      <c r="A6" s="195" t="s">
        <v>310</v>
      </c>
      <c r="B6" s="196" t="s">
        <v>311</v>
      </c>
      <c r="C6" s="197" t="s">
        <v>270</v>
      </c>
    </row>
    <row r="7" spans="1:14" s="126" customFormat="1" ht="15" customHeight="1" x14ac:dyDescent="0.2">
      <c r="A7" s="126" t="s">
        <v>312</v>
      </c>
      <c r="B7" s="136">
        <v>13.291660151361915</v>
      </c>
      <c r="C7" s="136">
        <v>24.896188087232744</v>
      </c>
    </row>
    <row r="8" spans="1:14" s="126" customFormat="1" ht="15" customHeight="1" x14ac:dyDescent="0.2">
      <c r="A8" s="126" t="s">
        <v>313</v>
      </c>
      <c r="B8" s="136">
        <v>26.688850038967644</v>
      </c>
      <c r="C8" s="136">
        <v>29.055758160019185</v>
      </c>
    </row>
    <row r="9" spans="1:14" s="126" customFormat="1" ht="15" customHeight="1" x14ac:dyDescent="0.2">
      <c r="A9" s="126" t="s">
        <v>314</v>
      </c>
      <c r="B9" s="136">
        <v>16.666612110305696</v>
      </c>
      <c r="C9" s="136">
        <v>20.784967511145098</v>
      </c>
    </row>
    <row r="10" spans="1:14" s="126" customFormat="1" ht="15" customHeight="1" x14ac:dyDescent="0.2">
      <c r="A10" s="126" t="s">
        <v>315</v>
      </c>
      <c r="B10" s="136">
        <v>42.006213544947613</v>
      </c>
      <c r="C10" s="136">
        <v>23.794299584242154</v>
      </c>
    </row>
    <row r="11" spans="1:14" s="126" customFormat="1" ht="15" customHeight="1" x14ac:dyDescent="0.2">
      <c r="A11" s="140" t="s">
        <v>316</v>
      </c>
      <c r="B11" s="142" t="s">
        <v>317</v>
      </c>
      <c r="C11" s="142" t="s">
        <v>317</v>
      </c>
    </row>
    <row r="12" spans="1:14" ht="15" customHeight="1" x14ac:dyDescent="0.2">
      <c r="B12" s="163"/>
      <c r="C12" s="163"/>
    </row>
    <row r="13" spans="1:14" ht="15" customHeight="1" x14ac:dyDescent="0.2">
      <c r="B13" s="163"/>
      <c r="C13" s="163"/>
    </row>
    <row r="14" spans="1:14" ht="15" customHeight="1" x14ac:dyDescent="0.2">
      <c r="B14" s="163"/>
      <c r="C14" s="163"/>
    </row>
    <row r="15" spans="1:14" ht="15" customHeight="1" x14ac:dyDescent="0.2">
      <c r="B15" s="163"/>
      <c r="C15" s="163"/>
    </row>
  </sheetData>
  <conditionalFormatting sqref="B12:C15">
    <cfRule type="expression" dxfId="1" priority="3" stopIfTrue="1">
      <formula>NOT(ISERROR(SEARCH("TRUE",B12)))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75E7-171A-4171-A144-7938CBB0F9F8}">
  <dimension ref="A1:N15"/>
  <sheetViews>
    <sheetView workbookViewId="0"/>
  </sheetViews>
  <sheetFormatPr defaultColWidth="11.42578125" defaultRowHeight="15" x14ac:dyDescent="0.2"/>
  <cols>
    <col min="1" max="1" width="53.5703125" style="125" customWidth="1"/>
    <col min="2" max="2" width="26.85546875" style="125" customWidth="1"/>
    <col min="3" max="3" width="26.42578125" style="125" customWidth="1"/>
    <col min="4" max="4" width="9.140625" style="125" customWidth="1"/>
    <col min="5" max="5" width="11.42578125" style="125" customWidth="1"/>
    <col min="6" max="16384" width="11.42578125" style="125"/>
  </cols>
  <sheetData>
    <row r="1" spans="1:14" ht="22.15" customHeight="1" x14ac:dyDescent="0.25">
      <c r="A1" s="145" t="s">
        <v>318</v>
      </c>
      <c r="B1" s="145"/>
      <c r="C1" s="145"/>
    </row>
    <row r="2" spans="1:14" s="132" customFormat="1" ht="22.15" customHeight="1" x14ac:dyDescent="0.25">
      <c r="A2" s="128" t="s">
        <v>257</v>
      </c>
      <c r="B2" s="129"/>
      <c r="C2" s="130"/>
      <c r="D2" s="131"/>
    </row>
    <row r="3" spans="1:14" s="51" customFormat="1" ht="19.899999999999999" customHeight="1" x14ac:dyDescent="0.2">
      <c r="A3" s="52" t="s">
        <v>308</v>
      </c>
      <c r="B3" s="52"/>
      <c r="C3" s="52"/>
      <c r="D3" s="52"/>
      <c r="E3" s="52"/>
      <c r="F3" s="52"/>
      <c r="G3" s="52"/>
      <c r="H3" s="52"/>
      <c r="I3" s="52"/>
      <c r="J3" s="52"/>
      <c r="K3" s="52"/>
      <c r="L3" s="52"/>
      <c r="M3" s="52"/>
      <c r="N3" s="52"/>
    </row>
    <row r="4" spans="1:14" s="52" customFormat="1" ht="19.899999999999999" customHeight="1" x14ac:dyDescent="0.2">
      <c r="A4" s="126" t="s">
        <v>259</v>
      </c>
    </row>
    <row r="5" spans="1:14" ht="58.15" customHeight="1" x14ac:dyDescent="0.25">
      <c r="A5" s="146" t="s">
        <v>319</v>
      </c>
      <c r="B5" s="147" t="s">
        <v>269</v>
      </c>
      <c r="C5" s="147" t="s">
        <v>270</v>
      </c>
      <c r="D5" s="198"/>
    </row>
    <row r="6" spans="1:14" x14ac:dyDescent="0.2">
      <c r="A6" s="125" t="s">
        <v>320</v>
      </c>
      <c r="B6" s="151">
        <v>50.58590292395774</v>
      </c>
      <c r="C6" s="151">
        <v>65.689231113232793</v>
      </c>
      <c r="D6" s="198"/>
    </row>
    <row r="7" spans="1:14" x14ac:dyDescent="0.2">
      <c r="A7" s="125" t="s">
        <v>321</v>
      </c>
      <c r="B7" s="151">
        <v>55.858888705440215</v>
      </c>
      <c r="C7" s="151">
        <v>52.160600549331413</v>
      </c>
      <c r="D7" s="198"/>
    </row>
    <row r="8" spans="1:14" x14ac:dyDescent="0.2">
      <c r="A8" s="125" t="s">
        <v>322</v>
      </c>
      <c r="B8" s="151">
        <v>56.449797749133211</v>
      </c>
      <c r="C8" s="151">
        <v>37.569144595719173</v>
      </c>
      <c r="D8" s="198"/>
    </row>
    <row r="9" spans="1:14" x14ac:dyDescent="0.2">
      <c r="A9" s="125" t="s">
        <v>323</v>
      </c>
      <c r="B9" s="151">
        <v>43.886240351122012</v>
      </c>
      <c r="C9" s="151">
        <v>23.746196634748511</v>
      </c>
      <c r="D9" s="198"/>
    </row>
    <row r="10" spans="1:14" x14ac:dyDescent="0.2">
      <c r="A10" s="125" t="s">
        <v>324</v>
      </c>
      <c r="B10" s="151">
        <v>45.921363382179862</v>
      </c>
      <c r="C10" s="151">
        <v>21.93917390642013</v>
      </c>
      <c r="D10" s="198"/>
    </row>
    <row r="11" spans="1:14" x14ac:dyDescent="0.2">
      <c r="A11" s="125" t="s">
        <v>325</v>
      </c>
      <c r="B11" s="151">
        <v>34.068696830849461</v>
      </c>
      <c r="C11" s="151">
        <v>14.674909743599635</v>
      </c>
      <c r="D11" s="198"/>
    </row>
    <row r="12" spans="1:14" x14ac:dyDescent="0.2">
      <c r="A12" s="125" t="s">
        <v>326</v>
      </c>
      <c r="B12" s="151">
        <v>25.850719724860806</v>
      </c>
      <c r="C12" s="151">
        <v>13.658562369774691</v>
      </c>
      <c r="D12" s="198"/>
    </row>
    <row r="13" spans="1:14" x14ac:dyDescent="0.2">
      <c r="A13" s="125" t="s">
        <v>327</v>
      </c>
      <c r="B13" s="151">
        <v>50.092982697487876</v>
      </c>
      <c r="C13" s="151">
        <v>20.149392233855345</v>
      </c>
      <c r="D13" s="198"/>
    </row>
    <row r="14" spans="1:14" x14ac:dyDescent="0.2">
      <c r="A14" s="125" t="s">
        <v>328</v>
      </c>
      <c r="B14" s="151">
        <v>25.008420220302092</v>
      </c>
      <c r="C14" s="151">
        <v>10.037305943928011</v>
      </c>
      <c r="D14" s="198"/>
    </row>
    <row r="15" spans="1:14" x14ac:dyDescent="0.2">
      <c r="A15" s="199" t="s">
        <v>164</v>
      </c>
      <c r="B15" s="200">
        <v>1.8106019893554954</v>
      </c>
      <c r="C15" s="200">
        <v>2.861502341980279</v>
      </c>
      <c r="D15" s="198"/>
    </row>
  </sheetData>
  <conditionalFormatting sqref="B16:C22">
    <cfRule type="expression" dxfId="0" priority="4" stopIfTrue="1">
      <formula>NOT(ISERROR(SEARCH("TRUE",B16)))</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docMetadata/LabelInfo.xml><?xml version="1.0" encoding="utf-8"?>
<clbl:labelList xmlns:clbl="http://schemas.microsoft.com/office/2020/mipLabelMetadata">
  <clbl:label id="{17151eb3-00ab-470c-b25c-644c7691e891}"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Front_Page</vt:lpstr>
      <vt:lpstr>Table_of_contents</vt:lpstr>
      <vt:lpstr>PRC_Notes_tables_1_to_15</vt:lpstr>
      <vt:lpstr>1</vt:lpstr>
      <vt:lpstr>2</vt:lpstr>
      <vt:lpstr>3</vt:lpstr>
      <vt:lpstr>4</vt:lpstr>
      <vt:lpstr>5</vt:lpstr>
      <vt:lpstr>6</vt:lpstr>
      <vt:lpstr>7</vt:lpstr>
      <vt:lpstr>8</vt:lpstr>
      <vt:lpstr>9</vt:lpstr>
      <vt:lpstr>10</vt:lpstr>
      <vt:lpstr>11</vt:lpstr>
      <vt:lpstr>12</vt:lpstr>
      <vt:lpstr>13</vt:lpstr>
      <vt:lpstr>14</vt:lpstr>
      <vt:lpstr>15</vt:lpstr>
      <vt:lpstr>CSEW_Notes_tables_16_to_22</vt:lpstr>
      <vt:lpstr>16</vt:lpstr>
      <vt:lpstr>17</vt:lpstr>
      <vt:lpstr>18</vt:lpstr>
      <vt:lpstr>19</vt:lpstr>
      <vt:lpstr>20</vt:lpstr>
      <vt:lpstr>21</vt:lpstr>
      <vt:lpstr>22</vt:lpstr>
      <vt:lpstr>'9'!Print_Area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Hate crime, England and Wales, year ending March 2025: data tables</dc:title>
  <dc:creator/>
  <cp:keywords>data tables, hate crime, racist incidents, 2025</cp:keywords>
  <cp:lastModifiedBy>Bailes, Lawrance (People &amp; Places / P&amp;P Data Hub)</cp:lastModifiedBy>
  <dcterms:created xsi:type="dcterms:W3CDTF">2025-10-07T07:04:23Z</dcterms:created>
  <dcterms:modified xsi:type="dcterms:W3CDTF">2026-02-05T16:36:53Z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151eb3-00ab-470c-b25c-644c7691e891_Enabled">
    <vt:lpwstr>true</vt:lpwstr>
  </property>
  <property fmtid="{D5CDD505-2E9C-101B-9397-08002B2CF9AE}" pid="3" name="MSIP_Label_17151eb3-00ab-470c-b25c-644c7691e891_SetDate">
    <vt:lpwstr>2026-02-05T16:27:12Z</vt:lpwstr>
  </property>
  <property fmtid="{D5CDD505-2E9C-101B-9397-08002B2CF9AE}" pid="4" name="MSIP_Label_17151eb3-00ab-470c-b25c-644c7691e891_Method">
    <vt:lpwstr>Standard</vt:lpwstr>
  </property>
  <property fmtid="{D5CDD505-2E9C-101B-9397-08002B2CF9AE}" pid="5" name="MSIP_Label_17151eb3-00ab-470c-b25c-644c7691e891_Name">
    <vt:lpwstr>17151eb3-00ab-470c-b25c-644c7691e891</vt:lpwstr>
  </property>
  <property fmtid="{D5CDD505-2E9C-101B-9397-08002B2CF9AE}" pid="6" name="MSIP_Label_17151eb3-00ab-470c-b25c-644c7691e891_SiteId">
    <vt:lpwstr>3ded2960-214a-46ff-8cf4-611f125e2398</vt:lpwstr>
  </property>
  <property fmtid="{D5CDD505-2E9C-101B-9397-08002B2CF9AE}" pid="7" name="MSIP_Label_17151eb3-00ab-470c-b25c-644c7691e891_ActionId">
    <vt:lpwstr>4f997ee3-0c85-41a9-8d3d-c0d17777d3bd</vt:lpwstr>
  </property>
  <property fmtid="{D5CDD505-2E9C-101B-9397-08002B2CF9AE}" pid="8" name="MSIP_Label_17151eb3-00ab-470c-b25c-644c7691e891_ContentBits">
    <vt:lpwstr>0</vt:lpwstr>
  </property>
</Properties>
</file>